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kia-my.sharepoint.com/personal/ciprian_hancu_nokia_com/Documents/Trainings TBD/Python in Excel/Advanced Python in Excel Machine Learning/"/>
    </mc:Choice>
  </mc:AlternateContent>
  <xr:revisionPtr revIDLastSave="192" documentId="8_{68710357-33A0-4F27-B9AF-95BE9E7FFE48}" xr6:coauthVersionLast="47" xr6:coauthVersionMax="47" xr10:uidLastSave="{757B5B99-7E6D-49EF-8CC4-6F23FFF7A62E}"/>
  <bookViews>
    <workbookView xWindow="28692" yWindow="-108" windowWidth="29016" windowHeight="15696" tabRatio="887" activeTab="14" xr2:uid="{02E0F9D9-C4E8-4F89-B355-05CD8ABCDD5A}"/>
  </bookViews>
  <sheets>
    <sheet name="02_02" sheetId="2" r:id="rId1"/>
    <sheet name="02_03" sheetId="4" r:id="rId2"/>
    <sheet name="02_03 (2)" sheetId="15" r:id="rId3"/>
    <sheet name="04_01" sheetId="3" r:id="rId4"/>
    <sheet name="04_02" sheetId="5" r:id="rId5"/>
    <sheet name="04_03" sheetId="6" r:id="rId6"/>
    <sheet name="Ch1" sheetId="7" r:id="rId7"/>
    <sheet name="Ch1 (2)" sheetId="13" r:id="rId8"/>
    <sheet name="Ch2" sheetId="8" r:id="rId9"/>
    <sheet name="Ch2 (2)" sheetId="16" r:id="rId10"/>
    <sheet name="Ch3" sheetId="9" r:id="rId11"/>
    <sheet name="Ch3 (2)" sheetId="17" r:id="rId12"/>
    <sheet name="Ch1 (Data)" sheetId="10" r:id="rId13"/>
    <sheet name="Ch2 (Data)" sheetId="11" r:id="rId14"/>
    <sheet name="Ch3 (Data)" sheetId="12" r:id="rId15"/>
  </sheets>
  <definedNames>
    <definedName name="_xlnm._FilterDatabase" localSheetId="0" hidden="1">'02_02'!$B$3:$H$201</definedName>
    <definedName name="_xlnm._FilterDatabase" localSheetId="1" hidden="1">'02_03'!$B$3:$I$3</definedName>
    <definedName name="_xlnm._FilterDatabase" localSheetId="2" hidden="1">'02_03 (2)'!$B$3:$I$3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 a="1"/>
  <c r="J6" i="2" a="1"/>
  <c r="J8" i="2" a="1"/>
  <c r="K4" i="4" a="1"/>
  <c r="K6" i="4" a="1"/>
  <c r="K4" i="15" a="1"/>
  <c r="K4" i="15" l="1"/>
  <c r="K6" i="4"/>
  <c r="K4" i="4"/>
  <c r="J8" i="2"/>
  <c r="J6" i="2"/>
  <c r="J4" i="2"/>
  <c r="K6" i="15" a="1"/>
  <c r="K6" i="15" l="1"/>
  <c r="K8" i="15" a="1"/>
  <c r="K8" i="15" l="1"/>
  <c r="G4" i="3" a="1"/>
  <c r="G4" i="3" l="1"/>
  <c r="G6" i="3" a="1"/>
  <c r="G6" i="3" l="1"/>
  <c r="G19" i="3" a="1"/>
  <c r="G19" i="3" l="1"/>
  <c r="G32" i="3" a="1"/>
  <c r="G32" i="3" l="1"/>
  <c r="B4" i="5" a="1"/>
  <c r="B4" i="5" l="1"/>
  <c r="B6" i="5" a="1"/>
  <c r="B6" i="5" l="1"/>
  <c r="B17" i="5" a="1"/>
  <c r="B17" i="5" l="1"/>
  <c r="B19" i="5" a="1"/>
  <c r="B19" i="5" l="1"/>
  <c r="B21" i="5" a="1"/>
  <c r="B21" i="5" l="1"/>
  <c r="B24" i="5" a="1"/>
  <c r="B24" i="5" l="1"/>
  <c r="G4" i="6" a="1"/>
  <c r="G4" i="6" l="1"/>
  <c r="G6" i="6" a="1"/>
  <c r="G6" i="6" l="1"/>
  <c r="I4" i="7" a="1"/>
  <c r="I4" i="7" l="1"/>
  <c r="I6" i="7" a="1"/>
  <c r="I6" i="7" l="1"/>
  <c r="I8" i="7" a="1"/>
  <c r="I8" i="7" l="1"/>
  <c r="I4" i="13" a="1"/>
  <c r="I4" i="13" l="1"/>
  <c r="I6" i="13" a="1"/>
  <c r="I6" i="13" l="1"/>
  <c r="I8" i="13" a="1"/>
  <c r="I8" i="13" l="1"/>
  <c r="I22" i="13" a="1"/>
  <c r="I22" i="13" l="1"/>
  <c r="H4" i="8" a="1"/>
  <c r="H4" i="8" l="1"/>
  <c r="H6" i="8" a="1"/>
  <c r="H6" i="8" l="1"/>
  <c r="H8" i="8" a="1"/>
  <c r="H8" i="8" l="1"/>
  <c r="H4" i="16" a="1"/>
  <c r="H4" i="16" l="1"/>
  <c r="H6" i="16" a="1"/>
  <c r="H6" i="16" l="1"/>
  <c r="H8" i="16" a="1"/>
  <c r="H8" i="16" l="1"/>
  <c r="I10" i="16" a="1"/>
  <c r="I10" i="16" l="1"/>
  <c r="H11" i="16" a="1"/>
  <c r="H11" i="16" l="1"/>
  <c r="E4" i="9" a="1"/>
  <c r="E4" i="9" l="1"/>
  <c r="E6" i="9" a="1"/>
  <c r="E6" i="9" l="1"/>
  <c r="E4" i="17" a="1"/>
  <c r="E4" i="17" l="1"/>
  <c r="E6" i="17" a="1"/>
  <c r="E8" i="17" a="1"/>
  <c r="E6" i="17" l="1"/>
  <c r="E8" i="1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0">
    <bk>
      <extLst>
        <ext uri="{3e2802c4-a4d2-4d8b-9148-e3be6c30e623}">
          <xlrd:rvb i="12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</futureMetadata>
  <cellMetadata count="1">
    <bk>
      <rc t="1" v="0"/>
    </bk>
  </cellMetadata>
  <valueMetadata count="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Load the dataset
df = xl(%P2%, headers=True)</code>
    </pythonScript>
    <pythonScript>
      <code>import pandas as pd
from sklearn.model_selection import train_test_split
from sklearn.linear_model import LinearRegression
from sklearn.metrics import mean_squared_error, r2_score
# Selecting features and target variable
X = df[['Quantity', 'Price', 'Discount']]
y = df['Order Total']
# Splitting the data into training and testing sets
X_train, X_test, y_train, y_test = train_test_split(X, y, test_size=0.2, random_state=42)
# Creating the linear regression model
model = LinearRegression()
# Training the model
model.fit(X_train, y_train)
# Making predictions
y_pred = model.predict(X_test)
# Evaluating the model
mse = mean_squared_error(y_test, y_pred)
r2 = r2_score(y_test, y_pred)
print(f"Mean Squared Error: {mse}")
print(f"R-squared: {r2}")
# Coefficients and Intercept
print(f"Coefficients: {model.coef_}")
print(f"Intercept: {model.intercept_}")
# Optional: Predict on the entire dataset and add to the dataframe
df['Predicted Order Total'] = model.predict(X)</code>
    </pythonScript>
    <pythonScript>
      <code>import matplotlib.pyplot as plt
# Create a scatter plot of actual vs predicted values
plt.figure(figsize=(10, 6))
plt.scatter(y_test, y_pred, color='blue')
plt.plot([y_test.min(), y_test.max()], [y_test.min(), y_test.max()], color='red', linewidth=2)
plt.xlabel('Actual Order Total')
plt.ylabel('Predicted Order Total')
plt.title('Actual vs Predicted Order Total')
plt.show()</code>
    </pythonScript>
    <pythonScript>
      <code># Load the dataset
df = xl(%P2%, headers=True)</code>
    </pythonScript>
    <pythonScript>
      <code>import pandas as pd
from sklearn.model_selection import train_test_split
from sklearn.linear_model import LogisticRegression
from sklearn.metrics import accuracy_score, confusion_matrix, classification_report
import matplotlib.pyplot as plt
import seaborn as sns
# Create a binary target variable - This creates a new column HighValueOrder to indicate if an order's total value exceeds $500. These steps prepare the data for training a classification model to predict high-value orders.
threshold = 500
df['HighValueOrder'] = (df['Order Total'] &gt; threshold).astype(int)
# Select features and target variable
X = df[['Quantity', 'Price', 'Discount']]
y = df['HighValueOrder']
# Split the data into training and testing sets
X_train, X_test, y_train, y_test = train_test_split(X, y, test_size=0.2, random_state=42)
# Create and train the logistic regression model
model = LogisticRegression()
model.fit(X_train, y_train)
# Make predictions
y_pred = model.predict(X_test)
# Evaluate the model
accuracy = accuracy_score(y_test, y_pred)
print(f"Accuracy: {accuracy}")
# Confusion matrix
conf_matrix = confusion_matrix(y_test, y_pred)
sns.heatmap(conf_matrix, annot=True, fmt='d', cmap='Blues', xticklabels=['Low', 'High'], yticklabels=['Low', 'High'])
plt.xlabel('Predicted')
plt.ylabel('Actual')
plt.title('Confusion Matrix')
plt.show()</code>
    </pythonScript>
    <pythonScript>
      <code>import pandas as pd
from sklearn.model_selection import train_test_split
from sklearn.linear_model import LogisticRegression
from sklearn.metrics import accuracy_score, confusion_matrix, classification_report
import matplotlib.pyplot as plt
import seaborn as sns
# Create a binary target variable - This creates a new column HighValueOrder to indicate if an order's total value exceeds $500. These steps prepare the data for training a classification model to predict high-value orders.
threshold = 500
df['HighValueOrder'] = (df['Order Total'] &gt; threshold).astype(int)
df
# # Select features and target variable
# X = df[['Quantity', 'Price', 'Discount']]
# y = df['HighValueOrder']
# # Split the data into training and testing sets
# X_train, X_test, y_train, y_test = train_test_split(X, y, test_size=0.2, random_state=42)
# # Create and train the logistic regression model
# model = LogisticRegression()
# model.fit(X_train, y_train)
# # Make predictions
# y_pred = model.predict(X_test)
# # Evaluate the model
# accuracy = accuracy_score(y_test, y_pred)
# print(f"Accuracy: {accuracy}")
# # Confusion matrix
# conf_matrix = confusion_matrix(y_test, y_pred)
# sns.heatmap(conf_matrix, annot=True, fmt='d', cmap='Blues', xticklabels=['Low', 'High'], yticklabels=['Low', 'High'])
# plt.xlabel('Predicted')
# plt.ylabel('Actual')
# plt.title('Confusion Matrix')
# plt.show()</code>
    </pythonScript>
    <pythonScript>
      <code>df = xl(%P2%, headers=True)</code>
    </pythonScript>
    <pythonScript>
      <code>import pandas as pd
import numpy as np
# Handling Missing Data
# Fill missing values using forward fill method
df.fillna(method='ffill', inplace=True)
# Interpolate missing values
df.interpolate(method='linear', inplace=True)
# Display data after handling missing values
df</code>
    </pythonScript>
    <pythonScript>
      <code># Data Transformation
# Create a new column 'Log_Sales_Figures' which is the log of 'Sales_Figures'
df['Log_Sales_Figures'] = df['Sales_Figures'].apply(lambda x: np.log(x))
# Create a new column 'Price_Change' which is the difference between current and previous 'Stock_Price'
df['Price_Change'] = df['Stock_Price'].diff()
df</code>
    </pythonScript>
    <pythonScript>
      <code># Grouping and Aggregating Data
# Assuming you have another column 'Category' for grouping
df['Category'] = ['A', 'A', 'B', 'B', 'A', 'B', 'A', 'B', 'A', 'B']
grouped = df.groupby('Category').agg({
    'Stock_Price': ['mean', 'sum'],
    'Sales_Figures': ['mean', 'count']
})
grouped</code>
    </pythonScript>
    <pythonScript>
      <code xml:space="preserve">import numpy as np
# 1. Importing NumPy
# Import NumPy as np
import numpy as np
# 2. Creating NumPy Arrays
# Create a NumPy array from a list
data = [100, 101, 102, 103, 104, 105, 106, 107, 108, 109]
array = np.array(data)
# 3. Performing Statistical Analysis
mean = np.mean(array)
median = np.median(array)
std_dev = np.std(array)
# Displaying statistical analysis results
print(f"Mean: {mean}")
print(f"Median: {median}")
print(f"Standard Deviation: {std_dev}")
# 4. Complex Operations
# Create two 2x2 matrices
matrix_a = np.array([[1, 2], [3, 4]])
matrix_b = np.array([[5, 6], [7, 8]])
# Dot product
dot_product = np.dot(matrix_a, matrix_b)
# Matrix inversion
matrix_inv = np.linalg.inv(matrix_a)
# 5. Element-wise Operations
# Perform element-wise addition, subtraction, multiplication, and division
added_array = array + 10
subtracted_array = array - 10
multiplied_array = array * 2
divided_array = array / 2
# 6. Reshaping and Resizing Arrays
# Reshape array into a 2x5 matrix
reshaped_array = np.reshape(array, (2, 5))
# Resize array to a 3x4 matrix (note: this will fill with repeated or truncated data)
resized_array = np.resize(array, (3, 4))
</code>
    </pythonScript>
    <pythonScript>
      <code>array</code>
    </pythonScript>
    <pythonScript>
      <code># Displaying statistical analysis results
mean</code>
    </pythonScript>
    <pythonScript>
      <code>std_dev</code>
    </pythonScript>
    <pythonScript>
      <code>matrix_a</code>
    </pythonScript>
    <pythonScript>
      <code>resized_array</code>
    </pythonScript>
    <pythonScript>
      <code>import pandas as pd
import numpy as np
from sklearn.model_selection import train_test_split
from sklearn.preprocessing import StandardScaler
from sklearn.linear_model import LinearRegression
from sklearn.metrics import mean_absolute_error, r2_score
# Set features (X) and target (y)
X = df[['Stock_Price', 'Economic_Indicator']]
y = df['Sales_Figures']
# Scale the features
scaler = StandardScaler()
X_scaled = scaler.fit_transform(X)
# Split Data into Training and Testing Sets
X_train, X_test, y_train, y_test = train_test_split(X_scaled, y, test_size=0.2, random_state=42)
# Train a Machine Learning Model
# Use Linear Regression for this example
model = LinearRegression()
model.fit(X_train, y_train)
# Evaluate the Model
y_pred = model.predict(X_test)
mae = mean_absolute_error(y_test, y_pred)
r2 = r2_score(y_test, y_pred)
print(f"Mean Absolute Error (MAE): {mae}")
print(f"R-squared (R2): {r2}")
# Make Predictions
new_data = np.array([[110, 2.5], [111, 2.6]])
new_data_scaled = scaler.transform(new_data)
predictions = model.predict(new_data_scaled)</code>
    </pythonScript>
    <pythonScript>
      <code>import pandas as pd
from sklearn.model_selection import train_test_split
from sklearn.preprocessing import StandardScaler
from sklearn.linear_model import LinearRegression
from sklearn.metrics import mean_absolute_error, r2_score
# Convert 'Date' column to datetime format
df['Date'] = pd.to_datetime(df['Date'], format='%%d/%%m/%%Y')
# Create the target variable (next day's closing price)
df['Next_Close'] = df['Close'].shift(-1)
# Drop the last row as it will have NaN in 'Next_Close'
df = df.dropna()
# Select features and target
X = df[['Open', 'High', 'Low', 'Close', 'Volume']]
y = df['Next_Close']
# Split the data into training and testing sets
X_train, X_test, y_train, y_test = train_test_split(X, y, test_size=0.2, random_state=42)
# Scale the features
scaler = StandardScaler()
X_train_scaled = scaler.fit_transform(X_train)
X_test_scaled = scaler.transform(X_test)
# Train a Machine Learning Model (Linear Regression in this example)
model = LinearRegression()
model.fit(X_train_scaled, y_train)
# Evaluate the Model
y_pred = model.predict(X_test_scaled)
mae = mean_absolute_error(y_test, y_pred)
r2 = r2_score(y_test, y_pred)
print(f"Mean Absolute Error (MAE): {mae}")
print(f"R-squared (R2): {r2}")
# Make Predictions on new data
# Example of new data for prediction (the last row in the dataset)
new_data = X.iloc[-1:].values
new_data_scaled = scaler.transform(new_data)
# Predict the next day's closing price
predicted_next_close = model.predict(new_data_scaled)
print(f"Predicted next day's closing price: {predicted_next_close[0]}")</code>
    </pythonScript>
    <pythonScript>
      <code>predicted_next_close</code>
    </pythonScript>
    <pythonScript>
      <code>import pandas as pd
from sklearn.model_selection import train_test_split
from sklearn.preprocessing import StandardScaler
from sklearn.linear_model import LinearRegression
from sklearn.metrics import mean_absolute_error, r2_score
# Convert 'Date' column to datetime format
df['Date'] = pd.to_datetime(df['Date'], format='%%d/%%m/%%Y')
# Create the target variable (next day's closing price)
df['Next_Close'] = df['Close'].shift(-1)
# Drop the last row as it will have NaN in 'Next_Close'
df = df.dropna()
df
# # Select features and target
# X = df[['Open', 'High', 'Low', 'Close', 'Volume']]
# y = df['Next_Close']
# # Split the data into training and testing sets
# X_train, X_test, y_train, y_test = train_test_split(X, y, test_size=0.2, random_state=42)
# # Scale the features
# scaler = StandardScaler()
# X_train_scaled = scaler.fit_transform(X_train)
# X_test_scaled = scaler.transform(X_test)
# # Train a Machine Learning Model (Linear Regression in this example)
# model = LinearRegression()
# model.fit(X_train_scaled, y_train)
# # Evaluate the Model
# y_pred = model.predict(X_test_scaled)
# mae = mean_absolute_error(y_test, y_pred)
# r2 = r2_score(y_test, y_pred)
# print(f"Mean Absolute Error (MAE): {mae}")
# print(f"R-squared (R2): {r2}")
# # Make Predictions on new data
# # Example of new data for prediction (the last row in the dataset)
# new_data = X.iloc[-1:].values
# new_data_scaled = scaler.transform(new_data)
# # Predict the next day's closing price
# predicted_next_close = model.predict(new_data_scaled)
# print(f"Predicted next day's closing price: {predicted_next_close[0]}")</code>
    </pythonScript>
    <pythonScript>
      <code>import pandas as pd
from sklearn.model_selection import train_test_split
from sklearn.preprocessing import StandardScaler
from sklearn.linear_model import LinearRegression
from sklearn.metrics import mean_absolute_error, r2_score
# Convert 'Month' column to datetime format
df['Month'] = pd.to_datetime(df['Month'])
# Select features and target
X = df[['Advertising_Spend', 'Economic_Indicator', 'Seasonal_Factor']]
y = df['Sales']
# Split the data into training and testing sets
X_train, X_test, y_train, y_test = train_test_split(X, y, test_size=0.2, random_state=42)
# Scale the features
scaler = StandardScaler()
X_train_scaled = scaler.fit_transform(X_train)
X_test_scaled = scaler.transform(X_test)
# Train a Machine Learning Model (Linear Regression in this example)
model = LinearRegression()
model.fit(X_train_scaled, y_train)
# Evaluate the Model
y_pred = model.predict(X_test_scaled)
mae = mean_absolute_error(y_test, y_pred)
r2 = r2_score(y_test, y_pred)
print(f"Mean Absolute Error (MAE): {mae}")
print(f"R-squared (R2): {r2}")
# Make Predictions on new data
# Example of new data for prediction
new_data = pd.DataFrame({
    'Advertising_Spend': [2500],
    'Economic_Indicator': [2.0],
    'Seasonal_Factor': [1.6]
})
new_data_scaled = scaler.transform(new_data)
# Predict the next month's sales
predicted_sales = model.predict(new_data_scaled)
print(f"Predicted next month's sales: {predicted_sales[0]}")</code>
    </pythonScript>
    <pythonScript>
      <code>y_pred</code>
    </pythonScript>
    <pythonScript>
      <code>import pandas as pd
from sklearn.model_selection import train_test_split
from sklearn.preprocessing import StandardScaler
from sklearn.linear_model import LinearRegression
from sklearn.metrics import mean_absolute_error, r2_score
# Convert 'Month' column to datetime format
df['Month'] = pd.to_datetime(df['Month'])
df
# # Select features and target
# X = df[['Advertising_Spend', 'Economic_Indicator', 'Seasonal_Factor']]
# y = df['Sales']
# # Split the data into training and testing sets
# X_train, X_test, y_train, y_test = train_test_split(X, y, test_size=0.2, random_state=42)
# # Scale the features
# scaler = StandardScaler()
# X_train_scaled = scaler.fit_transform(X_train)
# X_test_scaled = scaler.transform(X_test)
# # Train a Machine Learning Model (Linear Regression in this example)
# model = LinearRegression()
# model.fit(X_train_scaled, y_train)
# # Evaluate the Model
# y_pred = model.predict(X_test_scaled)
# mae = mean_absolute_error(y_test, y_pred)
# r2 = r2_score(y_test, y_pred)
# print(f"Mean Absolute Error (MAE): {mae}")
# print(f"R-squared (R2): {r2}")
# # Make Predictions on new data
# # Example of new data for prediction
# new_data = pd.DataFrame({
#     'Advertising_Spend': [2500],
#     'Economic_Indicator': [2.0],
#     'Seasonal_Factor': [1.6]
# })
# new_data_scaled = scaler.transform(new_data)
# # Predict the next month's sales
# predicted_sales = model.predict(new_data_scaled)
# print(f"Predicted next month's sales: {predicted_sales[0]}")</code>
    </pythonScript>
    <pythonScript>
      <code>y_test</code>
    </pythonScript>
    <pythonScript>
      <code xml:space="preserve">
df = xl(%P2%, headers=True)</code>
    </pythonScript>
    <pythonScript>
      <code>import pandas as pd
import numpy as np
from sklearn.linear_model import LinearRegression
import matplotlib.pyplot as plt
# Converting the Month column to datetime
df['Month'] = pd.to_datetime(df['Month'], format='%%b-%%y')
# Create a new column for the numeric representation of the date
df['Month_num'] = df['Month'].map(pd.Timestamp.toordinal)
# Prepare the features (X) and target (y)
X = df[['Month_num']]
y = df['Revenue']
# Initialize and fit the Linear Regression model
model = LinearRegression()
model.fit(X, y)
# Create future dates for the next 12 months
last_date = df['Month'].max()
future_dates = [last_date + pd.DateOffset(months=i) for i in range(1, 13)]
future_dates_num = [date.toordinal() for date in future_dates]
# Prepare the future features
X_future = np.array(future_dates_num).reshape(-1, 1)
# Predict the future revenue
future_revenue = model.predict(X_future)
# Create a DataFrame for the future predictions
future_df = pd.DataFrame({
    'Month': future_dates,
    'Revenue': future_revenue
})
# Plot the results
plt.figure(figsize=(10, 6))
plt.plot(df['Month'], df['Revenue'], label='Historical Revenue')
plt.plot(future_df['Month'], future_df['Revenue'], label='Forecasted Revenue', linestyle='--')
plt.xlabel('Month')
plt.ylabel('Revenue')
plt.title('Revenue Forecast')
plt.legend()
plt.show()
# Display the future revenue predictions
future_df</code>
    </pythonScript>
    <pythonScript>
      <code>import pandas as pd
import numpy as np
from sklearn.linear_model import LinearRegression
import matplotlib.pyplot as plt
# Converting the Month column to datetime
df['Month'] = pd.to_datetime(df['Month'], format='%%b-%%y')
# Create a new column for the numeric representation of the date
df['Month_num'] = df['Month'].map(pd.Timestamp.toordinal)
# df
# Prepare the features (X) and target (y)
X = df[['Month_num']]
y = df['Revenue']
# Initialize and fit the Linear Regression model
model = LinearRegression()
model.fit(X, y)
# Create future dates for the next 12 months
last_date = df['Month'].max()
future_dates = [last_date + pd.DateOffset(months=i) for i in range(1, 13)]
future_dates_num = [date.toordinal() for date in future_dates]
# Prepare the future features
X_future = np.array(future_dates_num).reshape(-1, 1)
# Predict the future revenue
future_revenue = model.predict(X_future)
# Create a DataFrame for the future predictions
future_df = pd.DataFrame({
    'Month': future_dates,
    'Revenue': future_revenue
})
future_df
# # Plot the results
# plt.figure(figsize=(10, 6))
# plt.plot(df['Month'], df['Revenue'], label='Historical Revenue')
# plt.plot(future_df['Month'], future_df['Revenue'], label='Forecasted Revenue', linestyle='--')
# plt.xlabel('Month')
# plt.ylabel('Revenue')
# plt.title('Revenue Forecast')
# plt.legend()
# plt.show()
# # Display the future revenue predictions
# future_df</code>
    </pythonScript>
  </pythonScripts>
</python>
</file>

<file path=xl/sharedStrings.xml><?xml version="1.0" encoding="utf-8"?>
<sst xmlns="http://schemas.openxmlformats.org/spreadsheetml/2006/main" count="1125" uniqueCount="47">
  <si>
    <t>Sales</t>
  </si>
  <si>
    <t>OrderNum</t>
  </si>
  <si>
    <t>OrderDate</t>
  </si>
  <si>
    <t>OrderType</t>
  </si>
  <si>
    <t>ProdCategory</t>
  </si>
  <si>
    <t>Quantity</t>
  </si>
  <si>
    <t>Price</t>
  </si>
  <si>
    <t>Discount</t>
  </si>
  <si>
    <t>Order Total</t>
  </si>
  <si>
    <t>Retail</t>
  </si>
  <si>
    <t>Training Videos</t>
  </si>
  <si>
    <t>Wholesale</t>
  </si>
  <si>
    <t>Blueprints</t>
  </si>
  <si>
    <t>Drones</t>
  </si>
  <si>
    <t>eBooks</t>
  </si>
  <si>
    <t>Robots</t>
  </si>
  <si>
    <t>Drone Kits</t>
  </si>
  <si>
    <t>Robot Kits</t>
  </si>
  <si>
    <t>Dataset</t>
  </si>
  <si>
    <t>Python Code</t>
  </si>
  <si>
    <t>Date</t>
  </si>
  <si>
    <t>Stock_Price</t>
  </si>
  <si>
    <t>Sales_Figures</t>
  </si>
  <si>
    <t>Economic_Indicator</t>
  </si>
  <si>
    <t>Open</t>
  </si>
  <si>
    <t>High</t>
  </si>
  <si>
    <t>Low</t>
  </si>
  <si>
    <t>Close</t>
  </si>
  <si>
    <t>Volume</t>
  </si>
  <si>
    <t>Month</t>
  </si>
  <si>
    <t>Advertising_Spend</t>
  </si>
  <si>
    <t>Seasonal_Factor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</si>
  <si>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</si>
  <si>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</si>
  <si>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</si>
  <si>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</si>
  <si>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</si>
  <si>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</si>
  <si>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</si>
  <si>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</si>
  <si>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</si>
  <si>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</si>
  <si>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</si>
  <si>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</si>
  <si>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Revenue</t>
  </si>
  <si>
    <t>Regression Model</t>
  </si>
  <si>
    <t>Classification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</si>
</sst>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 ;\-#,##0.0\ "/>
    <numFmt numFmtId="165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Continuous"/>
    </xf>
    <xf numFmtId="0" fontId="1" fillId="3" borderId="0" xfId="0" applyFont="1" applyFill="1" applyAlignment="1">
      <alignment horizontal="centerContinuous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5" fontId="0" fillId="0" borderId="0" xfId="1" applyNumberFormat="1" applyFont="1" applyAlignment="1">
      <alignment horizontal="left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microsoft.com/office/2017/06/relationships/rdSupportingPropertyBag" Target="richData/rdsupportingpropertybag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29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ichStyles" Target="richData/rich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Array" Target="richData/rdarray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Relationship Id="rId27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236887</xdr:colOff>
      <xdr:row>10</xdr:row>
      <xdr:rowOff>129680</xdr:rowOff>
    </xdr:from>
    <xdr:to>
      <xdr:col>22</xdr:col>
      <xdr:colOff>98670</xdr:colOff>
      <xdr:row>38</xdr:row>
      <xdr:rowOff>148441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D2ED9-A353-1209-4D52-44127223FBC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_02'!J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06958" y="1943966"/>
          <a:ext cx="8225641" cy="5098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317500</xdr:colOff>
      <xdr:row>7</xdr:row>
      <xdr:rowOff>142875</xdr:rowOff>
    </xdr:from>
    <xdr:to>
      <xdr:col>17</xdr:col>
      <xdr:colOff>281215</xdr:colOff>
      <xdr:row>31</xdr:row>
      <xdr:rowOff>94343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F5FFC5-B98F-435C-6585-6630799E2BC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_03'!K6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56500" y="1651000"/>
          <a:ext cx="5027839" cy="45234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317500</xdr:colOff>
      <xdr:row>9</xdr:row>
      <xdr:rowOff>142875</xdr:rowOff>
    </xdr:from>
    <xdr:to>
      <xdr:col>17</xdr:col>
      <xdr:colOff>281215</xdr:colOff>
      <xdr:row>33</xdr:row>
      <xdr:rowOff>94343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680352-E1DD-4086-8E2D-4AAC5741B39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02_03 (2)'!K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6020" y="1765935"/>
          <a:ext cx="5038635" cy="43405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438727</xdr:colOff>
      <xdr:row>8</xdr:row>
      <xdr:rowOff>44740</xdr:rowOff>
    </xdr:from>
    <xdr:to>
      <xdr:col>14</xdr:col>
      <xdr:colOff>165966</xdr:colOff>
      <xdr:row>30</xdr:row>
      <xdr:rowOff>89599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873F8-0DE7-F8A0-FCB5-7788548E58F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Ch3'!E6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90818" y="1522558"/>
          <a:ext cx="6492875" cy="41088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438727</xdr:colOff>
      <xdr:row>10</xdr:row>
      <xdr:rowOff>44740</xdr:rowOff>
    </xdr:from>
    <xdr:to>
      <xdr:col>14</xdr:col>
      <xdr:colOff>165966</xdr:colOff>
      <xdr:row>32</xdr:row>
      <xdr:rowOff>89599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3989B-0759-4214-BB23-DBB7A020F82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'Ch3 (2)'!E8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9627" y="1507780"/>
          <a:ext cx="6448079" cy="406821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5">
  <a r="12" c="8">
    <v t="s"/>
    <v t="s">OrderNum</v>
    <v t="s">OrderDate</v>
    <v t="s">OrderType</v>
    <v t="s">Quantity</v>
    <v t="s">Price</v>
    <v t="s">Discount</v>
    <v t="s">Order Total</v>
    <v>0</v>
    <v>1100948</v>
    <v t="r">0</v>
    <v t="s">Retail</v>
    <v>1</v>
    <v>44.95</v>
    <v>0</v>
    <v>44.95</v>
    <v>1</v>
    <v>1101096</v>
    <v t="r">1</v>
    <v t="s">Wholesale</v>
    <v>10</v>
    <v>4.99</v>
    <v>0.99800000000000011</v>
    <v>48.902000000000008</v>
    <v>2</v>
    <v>1101138</v>
    <v t="r">2</v>
    <v t="s">Wholesale</v>
    <v>4</v>
    <v>250</v>
    <v>50</v>
    <v>950</v>
    <v>3</v>
    <v>1101158</v>
    <v t="r">3</v>
    <v t="s">Retail</v>
    <v>1</v>
    <v>250</v>
    <v>0</v>
    <v>250</v>
    <v>4</v>
    <v>1101181</v>
    <v t="r">4</v>
    <v t="s">Retail</v>
    <v>1</v>
    <v>13.99</v>
    <v>0</v>
    <v>13.99</v>
    <v t="s">...</v>
    <v t="s">...</v>
    <v t="s">...</v>
    <v t="s">...</v>
    <v t="s">...</v>
    <v t="s">...</v>
    <v t="s">...</v>
    <v t="s">...</v>
    <v>193</v>
    <v>1100982</v>
    <v t="r">5</v>
    <v t="s">Wholesale</v>
    <v>6</v>
    <v>34.99</v>
    <v>6.9980000000000011</v>
    <v>202.94200000000001</v>
    <v>194</v>
    <v>1100984</v>
    <v t="r">6</v>
    <v t="s">Wholesale</v>
    <v>10</v>
    <v>34.99</v>
    <v>6.9980000000000011</v>
    <v>342.90200000000004</v>
    <v>195</v>
    <v>1101004</v>
    <v t="r">7</v>
    <v t="s">Retail</v>
    <v>1</v>
    <v>8.99</v>
    <v>0</v>
    <v>8.99</v>
    <v>196</v>
    <v>1101016</v>
    <v t="r">8</v>
    <v t="s">Wholesale</v>
    <v>4</v>
    <v>89</v>
    <v>17.8</v>
    <v>338.2</v>
    <v>197</v>
    <v>1101035</v>
    <v t="r">9</v>
    <v t="s">Wholesale</v>
    <v>8</v>
    <v>499</v>
    <v>99.800000000000011</v>
    <v>3892.2</v>
  </a>
  <a r="2">
    <v>868</v>
    <v>545</v>
  </a>
  <a r="12" c="9">
    <v t="s"/>
    <v t="s">OrderNum</v>
    <v t="s">OrderDate</v>
    <v t="s">ProdCategory</v>
    <v t="s">OrderType</v>
    <v t="s">Quantity</v>
    <v t="s">Price</v>
    <v t="s">Discount</v>
    <v t="s">Order Total</v>
    <v>0</v>
    <v>1100948</v>
    <v t="r">0</v>
    <v t="s">Training Videos</v>
    <v t="s">Retail</v>
    <v>1</v>
    <v>44.95</v>
    <v>0</v>
    <v>44.95</v>
    <v>1</v>
    <v>1101096</v>
    <v t="r">1</v>
    <v t="s">Blueprints</v>
    <v t="s">Wholesale</v>
    <v>10</v>
    <v>4.99</v>
    <v>0.99800000000000011</v>
    <v>48.902000000000008</v>
    <v>2</v>
    <v>1101138</v>
    <v t="r">2</v>
    <v t="s">Drones</v>
    <v t="s">Wholesale</v>
    <v>4</v>
    <v>250</v>
    <v>50</v>
    <v>950</v>
    <v>3</v>
    <v>1101158</v>
    <v t="r">3</v>
    <v t="s">Drones</v>
    <v t="s">Retail</v>
    <v>1</v>
    <v>250</v>
    <v>0</v>
    <v>250</v>
    <v>4</v>
    <v>1101181</v>
    <v t="r">4</v>
    <v t="s">eBooks</v>
    <v t="s">Retail</v>
    <v>1</v>
    <v>13.99</v>
    <v>0</v>
    <v>13.99</v>
    <v t="s">...</v>
    <v t="s">...</v>
    <v t="s">...</v>
    <v t="s">...</v>
    <v t="s">...</v>
    <v t="s">...</v>
    <v t="s">...</v>
    <v t="s">...</v>
    <v t="s">...</v>
    <v>193</v>
    <v>1100982</v>
    <v t="r">5</v>
    <v t="s">Training Videos</v>
    <v t="s">Wholesale</v>
    <v>6</v>
    <v>34.99</v>
    <v>6.9980000000000011</v>
    <v>202.94200000000001</v>
    <v>194</v>
    <v>1100984</v>
    <v t="r">6</v>
    <v t="s">Training Videos</v>
    <v t="s">Wholesale</v>
    <v>10</v>
    <v>34.99</v>
    <v>6.9980000000000011</v>
    <v>342.90200000000004</v>
    <v>195</v>
    <v>1101004</v>
    <v t="r">7</v>
    <v t="s">Blueprints</v>
    <v t="s">Retail</v>
    <v>1</v>
    <v>8.99</v>
    <v>0</v>
    <v>8.99</v>
    <v>196</v>
    <v>1101016</v>
    <v t="r">8</v>
    <v t="s">Drone Kits</v>
    <v t="s">Wholesale</v>
    <v>4</v>
    <v>89</v>
    <v>17.8</v>
    <v>338.2</v>
    <v>197</v>
    <v>1101035</v>
    <v t="r">9</v>
    <v t="s">Drones</v>
    <v t="s">Wholesale</v>
    <v>8</v>
    <v>499</v>
    <v>99.800000000000011</v>
    <v>3892.2</v>
  </a>
  <a r="2">
    <v>530</v>
    <v>453</v>
  </a>
  <a r="12" c="10">
    <v t="s"/>
    <v t="s">OrderNum</v>
    <v t="s">OrderDate</v>
    <v t="s">ProdCategory</v>
    <v t="s">OrderType</v>
    <v t="s">Quantity</v>
    <v t="s">Price</v>
    <v t="s">Discount</v>
    <v t="s">Order Total</v>
    <v t="s">HighValueOrder</v>
    <v>0</v>
    <v>1100948</v>
    <v t="r">0</v>
    <v t="s">Training Videos</v>
    <v t="s">Retail</v>
    <v>1</v>
    <v>44.95</v>
    <v>0</v>
    <v>44.95</v>
    <v>0</v>
    <v>1</v>
    <v>1101096</v>
    <v t="r">1</v>
    <v t="s">Blueprints</v>
    <v t="s">Wholesale</v>
    <v>10</v>
    <v>4.99</v>
    <v>0.99800000000000011</v>
    <v>48.902000000000008</v>
    <v>0</v>
    <v>2</v>
    <v>1101138</v>
    <v t="r">2</v>
    <v t="s">Drones</v>
    <v t="s">Wholesale</v>
    <v>4</v>
    <v>250</v>
    <v>50</v>
    <v>950</v>
    <v>1</v>
    <v>3</v>
    <v>1101158</v>
    <v t="r">3</v>
    <v t="s">Drones</v>
    <v t="s">Retail</v>
    <v>1</v>
    <v>250</v>
    <v>0</v>
    <v>250</v>
    <v>0</v>
    <v>4</v>
    <v>1101181</v>
    <v t="r">4</v>
    <v t="s">eBooks</v>
    <v t="s">Retail</v>
    <v>1</v>
    <v>13.99</v>
    <v>0</v>
    <v>13.99</v>
    <v>0</v>
    <v t="s">...</v>
    <v t="s">...</v>
    <v t="s">...</v>
    <v t="s">...</v>
    <v t="s">...</v>
    <v t="s">...</v>
    <v t="s">...</v>
    <v t="s">...</v>
    <v t="s">...</v>
    <v t="s">...</v>
    <v>193</v>
    <v>1100982</v>
    <v t="r">5</v>
    <v t="s">Training Videos</v>
    <v t="s">Wholesale</v>
    <v>6</v>
    <v>34.99</v>
    <v>6.9980000000000011</v>
    <v>202.94200000000001</v>
    <v>0</v>
    <v>194</v>
    <v>1100984</v>
    <v t="r">6</v>
    <v t="s">Training Videos</v>
    <v t="s">Wholesale</v>
    <v>10</v>
    <v>34.99</v>
    <v>6.9980000000000011</v>
    <v>342.90200000000004</v>
    <v>0</v>
    <v>195</v>
    <v>1101004</v>
    <v t="r">7</v>
    <v t="s">Blueprints</v>
    <v t="s">Retail</v>
    <v>1</v>
    <v>8.99</v>
    <v>0</v>
    <v>8.99</v>
    <v>0</v>
    <v>196</v>
    <v>1101016</v>
    <v t="r">8</v>
    <v t="s">Drone Kits</v>
    <v t="s">Wholesale</v>
    <v>4</v>
    <v>89</v>
    <v>17.8</v>
    <v>338.2</v>
    <v>0</v>
    <v>197</v>
    <v>1101035</v>
    <v t="r">9</v>
    <v t="s">Drones</v>
    <v t="s">Wholesale</v>
    <v>8</v>
    <v>499</v>
    <v>99.800000000000011</v>
    <v>3892.2</v>
    <v>1</v>
  </a>
  <a r="11" c="5">
    <v t="s"/>
    <v t="s">Date</v>
    <v t="s">Stock_Price</v>
    <v t="s">Sales_Figures</v>
    <v t="s">Economic_Indicator</v>
    <v>0</v>
    <v t="r">30</v>
    <v>100</v>
    <v>190</v>
    <v>1.2</v>
    <v>1</v>
    <v t="r">31</v>
    <v>101</v>
    <v>230</v>
    <v>1.2</v>
    <v>2</v>
    <v t="r">32</v>
    <v t="r">33</v>
    <v>250</v>
    <v>1.2</v>
    <v>3</v>
    <v t="r">34</v>
    <v>103</v>
    <v>270</v>
    <v>1.2</v>
    <v>4</v>
    <v t="r">35</v>
    <v>104</v>
    <v t="r">33</v>
    <v>1.2</v>
    <v>5</v>
    <v t="r">36</v>
    <v t="r">33</v>
    <v>310</v>
    <v>1.2</v>
    <v>6</v>
    <v t="r">37</v>
    <v>106</v>
    <v>250</v>
    <v t="r">33</v>
    <v>7</v>
    <v t="r">38</v>
    <v>107</v>
    <v>250</v>
    <v>1.2</v>
    <v>8</v>
    <v t="r">39</v>
    <v>108</v>
    <v t="r">33</v>
    <v>1.2</v>
    <v>9</v>
    <v t="r">40</v>
    <v>109</v>
    <v>290</v>
    <v>1.2</v>
  </a>
  <a r="3" c="4">
    <v>100</v>
    <v>101</v>
    <v>102</v>
    <v>103</v>
    <v>104</v>
    <v>105</v>
    <v>106</v>
    <v>107</v>
    <v>108</v>
    <v>109</v>
    <v>100</v>
    <v>101</v>
  </a>
  <a r="11" c="5">
    <v t="s"/>
    <v t="s">Date</v>
    <v t="s">Stock_Price</v>
    <v t="s">Sales_Figures</v>
    <v t="s">Economic_Indicator</v>
    <v>0</v>
    <v t="r">30</v>
    <v>100</v>
    <v>190</v>
    <v>1.5</v>
    <v>1</v>
    <v t="r">31</v>
    <v>101</v>
    <v>230</v>
    <v>1.6</v>
    <v>2</v>
    <v t="r">32</v>
    <v>101</v>
    <v>250</v>
    <v>1.7</v>
    <v>3</v>
    <v t="r">34</v>
    <v>103</v>
    <v>270</v>
    <v>1.8</v>
    <v>4</v>
    <v t="r">35</v>
    <v>104</v>
    <v>270</v>
    <v>1.9</v>
    <v>5</v>
    <v t="r">36</v>
    <v>104</v>
    <v>310</v>
    <v>2</v>
    <v>6</v>
    <v t="r">37</v>
    <v>106</v>
    <v>250</v>
    <v>2.1</v>
    <v>7</v>
    <v t="r">38</v>
    <v>107</v>
    <v>250</v>
    <v>2.2000000000000002</v>
    <v>8</v>
    <v t="r">39</v>
    <v>108</v>
    <v>250</v>
    <v>2.2999999999999998</v>
    <v>9</v>
    <v t="r">40</v>
    <v>109</v>
    <v>290</v>
    <v>2.4</v>
  </a>
  <a r="12" c="7">
    <v t="s"/>
    <v t="s">Date</v>
    <v t="s">Open</v>
    <v t="s">High</v>
    <v t="s">Low</v>
    <v t="s">Close</v>
    <v t="s">Volume</v>
    <v>0</v>
    <v t="r">30</v>
    <v>137.45401200000001</v>
    <v>144.78974299999999</v>
    <v>133.494113</v>
    <v>139.230572</v>
    <v>1067</v>
    <v>1</v>
    <v t="r">31</v>
    <v>195.07143099999999</v>
    <v>200.245698</v>
    <v>192.73894000000001</v>
    <v>199.241421</v>
    <v>1017</v>
    <v>2</v>
    <v t="r">32</v>
    <v>173.19939400000001</v>
    <v>177.13923299999999</v>
    <v>171.850898</v>
    <v>175.086894</v>
    <v>1026</v>
    <v>3</v>
    <v t="r">34</v>
    <v>159.865848</v>
    <v>169.04731699999999</v>
    <v>151.674825</v>
    <v>161.431422</v>
    <v>1094</v>
    <v>4</v>
    <v t="r">35</v>
    <v>115.60186400000001</v>
    <v>123.83734200000001</v>
    <v>109.16530899999999</v>
    <v>112.993055</v>
    <v>1082</v>
    <v t="s">...</v>
    <v t="s">...</v>
    <v t="s">...</v>
    <v t="s">...</v>
    <v t="s">...</v>
    <v t="s">...</v>
    <v t="s">...</v>
    <v>26</v>
    <v t="r">52</v>
    <v>53.7529207142857</v>
    <v>67.456290535714004</v>
    <v>36.952322035714403</v>
    <v>41.878543392856599</v>
    <v>1040</v>
    <v>27</v>
    <v t="r">53</v>
    <v>49.309385773809701</v>
    <v>63.314996642856997</v>
    <v>31.974563476190401</v>
    <v>36.8648412380956</v>
    <v>1072</v>
    <v>28</v>
    <v t="r">54</v>
    <v>44.865850833333702</v>
    <v>59.173702749999997</v>
    <v>26.996804916666299</v>
    <v>31.851139083333599</v>
    <v>1075</v>
    <v>29</v>
    <v t="r">55</v>
    <v>40.422315892856702</v>
    <v>55.032408857142997</v>
    <v>22.0190463571424</v>
    <v>26.837436928571599</v>
    <v>1060</v>
    <v>30</v>
    <v t="r">56</v>
    <v>35.978780952380703</v>
    <v>50.891114964285997</v>
    <v>17.0412877976194</v>
    <v>21.823734773809601</v>
    <v>1190</v>
  </a>
  <a r="12" c="8">
    <v t="s"/>
    <v t="s">Date</v>
    <v t="s">Open</v>
    <v t="s">High</v>
    <v t="s">Low</v>
    <v t="s">Close</v>
    <v t="s">Volume</v>
    <v t="s">Next_Close</v>
    <v>0</v>
    <v t="r">30</v>
    <v>137.45401200000001</v>
    <v>144.78974299999999</v>
    <v>133.494113</v>
    <v>139.230572</v>
    <v>1067</v>
    <v>199.241421</v>
    <v>1</v>
    <v t="r">31</v>
    <v>195.07143099999999</v>
    <v>200.245698</v>
    <v>192.73894000000001</v>
    <v>199.241421</v>
    <v>1017</v>
    <v>175.086894</v>
    <v>2</v>
    <v t="r">32</v>
    <v>173.19939400000001</v>
    <v>177.13923299999999</v>
    <v>171.850898</v>
    <v>175.086894</v>
    <v>1026</v>
    <v>161.431422</v>
    <v>3</v>
    <v t="r">34</v>
    <v>159.865848</v>
    <v>169.04731699999999</v>
    <v>151.674825</v>
    <v>161.431422</v>
    <v>1094</v>
    <v>112.993055</v>
    <v>4</v>
    <v t="r">35</v>
    <v>115.60186400000001</v>
    <v>123.83734200000001</v>
    <v>109.16530899999999</v>
    <v>112.993055</v>
    <v>1082</v>
    <v>175.086894</v>
    <v t="s">...</v>
    <v t="s">...</v>
    <v t="s">...</v>
    <v t="s">...</v>
    <v t="s">...</v>
    <v t="s">...</v>
    <v t="s">...</v>
    <v t="s">...</v>
    <v>25</v>
    <v t="r">60</v>
    <v>58.196455654761699</v>
    <v>71.597584428570997</v>
    <v>41.930080595238401</v>
    <v>46.8922455476186</v>
    <v>1011</v>
    <v>41.878543392856599</v>
    <v>26</v>
    <v t="r">52</v>
    <v>53.7529207142857</v>
    <v>67.456290535714004</v>
    <v>36.952322035714403</v>
    <v>41.878543392856599</v>
    <v>1040</v>
    <v>36.8648412380956</v>
    <v>27</v>
    <v t="r">53</v>
    <v>49.309385773809701</v>
    <v>63.314996642856997</v>
    <v>31.974563476190401</v>
    <v>36.8648412380956</v>
    <v>1072</v>
    <v>31.851139083333599</v>
    <v>28</v>
    <v t="r">54</v>
    <v>44.865850833333702</v>
    <v>59.173702749999997</v>
    <v>26.996804916666299</v>
    <v>31.851139083333599</v>
    <v>1075</v>
    <v>26.837436928571599</v>
    <v>29</v>
    <v t="r">55</v>
    <v>40.422315892856702</v>
    <v>55.032408857142997</v>
    <v>22.0190463571424</v>
    <v>26.837436928571599</v>
    <v>1060</v>
    <v>21.823734773809601</v>
  </a>
  <a r="12" c="6">
    <v t="s"/>
    <v t="s">Month</v>
    <v t="s">Sales</v>
    <v t="s">Advertising_Spend</v>
    <v t="s">Economic_Indicator</v>
    <v t="s">Seasonal_Factor</v>
    <v>0</v>
    <v t="s">2020-01</v>
    <v>20000</v>
    <v>1500</v>
    <v>1.1000000000000001</v>
    <v>0.8</v>
    <v>1</v>
    <v t="s">2020-02</v>
    <v>21000</v>
    <v>1600</v>
    <v>1.2</v>
    <v>0.9</v>
    <v>2</v>
    <v t="s">2020-03</v>
    <v>25000</v>
    <v>1700</v>
    <v>1.3</v>
    <v>1</v>
    <v>3</v>
    <v t="s">2020-04</v>
    <v>24000</v>
    <v>1800</v>
    <v>1.4</v>
    <v>1.1000000000000001</v>
    <v>4</v>
    <v t="s">2020-05</v>
    <v>23000</v>
    <v>1500</v>
    <v>1.2</v>
    <v>0.9</v>
    <v t="s">...</v>
    <v t="s">...</v>
    <v t="s">...</v>
    <v t="s">...</v>
    <v t="s">...</v>
    <v t="s">...</v>
    <v>7</v>
    <v t="s">2020-08</v>
    <v>27000</v>
    <v>2000</v>
    <v>1.5</v>
    <v>1.1000000000000001</v>
    <v>8</v>
    <v t="s">2020-09</v>
    <v>28000</v>
    <v>2100</v>
    <v>1.6</v>
    <v>1.2</v>
    <v>9</v>
    <v t="s">2020-10</v>
    <v>30000</v>
    <v>2200</v>
    <v>1.7</v>
    <v>1.3</v>
    <v>10</v>
    <v t="s">2020-11</v>
    <v>31000</v>
    <v>2300</v>
    <v>1.8</v>
    <v>1.4</v>
    <v>11</v>
    <v t="s">2020-12</v>
    <v>32000</v>
    <v>2400</v>
    <v>1.9</v>
    <v>1.5</v>
  </a>
  <a r="12" c="6">
    <v t="s"/>
    <v t="s">Month</v>
    <v t="s">Sales</v>
    <v t="s">Advertising_Spend</v>
    <v t="s">Economic_Indicator</v>
    <v t="s">Seasonal_Factor</v>
    <v>0</v>
    <v t="r">30</v>
    <v>20000</v>
    <v>1500</v>
    <v>1.1000000000000001</v>
    <v>0.8</v>
    <v>1</v>
    <v t="r">67</v>
    <v>21000</v>
    <v>1600</v>
    <v>1.2</v>
    <v>0.9</v>
    <v>2</v>
    <v t="r">68</v>
    <v>25000</v>
    <v>1700</v>
    <v>1.3</v>
    <v>1</v>
    <v>3</v>
    <v t="r">69</v>
    <v>24000</v>
    <v>1800</v>
    <v>1.4</v>
    <v>1.1000000000000001</v>
    <v>4</v>
    <v t="r">70</v>
    <v>23000</v>
    <v>1500</v>
    <v>1.2</v>
    <v>0.9</v>
    <v t="s">...</v>
    <v t="s">...</v>
    <v t="s">...</v>
    <v t="s">...</v>
    <v t="s">...</v>
    <v t="s">...</v>
    <v>7</v>
    <v t="r">71</v>
    <v>27000</v>
    <v>2000</v>
    <v>1.5</v>
    <v>1.1000000000000001</v>
    <v>8</v>
    <v t="r">72</v>
    <v>28000</v>
    <v>2100</v>
    <v>1.6</v>
    <v>1.2</v>
    <v>9</v>
    <v t="r">73</v>
    <v>30000</v>
    <v>2200</v>
    <v>1.7</v>
    <v>1.3</v>
    <v>10</v>
    <v t="r">74</v>
    <v>31000</v>
    <v>2300</v>
    <v>1.8</v>
    <v>1.4</v>
    <v>11</v>
    <v t="r">75</v>
    <v>32000</v>
    <v>2400</v>
    <v>1.9</v>
    <v>1.5</v>
  </a>
  <a r="12" c="3">
    <v t="s"/>
    <v t="s">Month</v>
    <v t="s">Revenue</v>
    <v>0</v>
    <v t="r">79</v>
    <v>1483</v>
    <v>1</v>
    <v t="r">80</v>
    <v>1382</v>
    <v>2</v>
    <v t="r">81</v>
    <v>1367</v>
    <v>3</v>
    <v t="r">82</v>
    <v>1206</v>
    <v>4</v>
    <v t="r">83</v>
    <v>1290</v>
    <v t="s">...</v>
    <v t="s">...</v>
    <v t="s">...</v>
    <v>55</v>
    <v t="r">84</v>
    <v>1176</v>
    <v>56</v>
    <v t="r">85</v>
    <v>1456</v>
    <v>57</v>
    <v t="r">86</v>
    <v>1171</v>
    <v>58</v>
    <v t="r">87</v>
    <v>1311</v>
    <v>59</v>
    <v t="r">88</v>
    <v>1242</v>
  </a>
  <a r="2">
    <v>859</v>
    <v>545</v>
  </a>
  <a r="12" c="3">
    <v t="s"/>
    <v t="s">Month</v>
    <v t="s">Revenue</v>
    <v>0</v>
    <v t="r">96</v>
    <v>1210.7960646145984</v>
    <v>1</v>
    <v t="r">97</v>
    <v>1210.0259957068229</v>
    <v>2</v>
    <v t="r">98</v>
    <v>1209.3056086640645</v>
    <v>3</v>
    <v t="r">99</v>
    <v>1208.5355397562926</v>
    <v>4</v>
    <v t="r">100</v>
    <v>1207.7903117810238</v>
    <v t="s">...</v>
    <v t="s">...</v>
    <v t="s">...</v>
    <v>7</v>
    <v t="r">101</v>
    <v>1205.5049459902111</v>
    <v>8</v>
    <v t="r">102</v>
    <v>1204.7348770824356</v>
    <v>9</v>
    <v t="r">103</v>
    <v>1203.9896491071704</v>
    <v>10</v>
    <v t="r">104</v>
    <v>1203.2195801993948</v>
    <v>11</v>
    <v t="r">105</v>
    <v>1202.4743522241297</v>
  </a>
</arrayData>
</file>

<file path=xl/richData/rdrichvalue.xml><?xml version="1.0" encoding="utf-8"?>
<rvData xmlns="http://schemas.microsoft.com/office/spreadsheetml/2017/richdata" count="110">
  <rv s="0">
    <fb>42981</fb>
    <v>2</v>
  </rv>
  <rv s="0">
    <fb>43002</fb>
    <v>2</v>
  </rv>
  <rv s="0">
    <fb>43009</fb>
    <v>2</v>
  </rv>
  <rv s="0">
    <fb>43011</fb>
    <v>2</v>
  </rv>
  <rv s="0">
    <fb>43017</fb>
    <v>2</v>
  </rv>
  <rv s="0">
    <fb>42986</fb>
    <v>2</v>
  </rv>
  <rv s="0">
    <fb>42987</fb>
    <v>2</v>
  </rv>
  <rv s="0">
    <fb>42990</fb>
    <v>2</v>
  </rv>
  <rv s="0">
    <fb>42991</fb>
    <v>2</v>
  </rv>
  <rv s="0">
    <fb>42994</fb>
    <v>2</v>
  </rv>
  <rv s="1">
    <v>0</v>
  </rv>
  <rv s="2">
    <v>DataFrame</v>
    <v>1</v>
    <v>10</v>
  </rv>
  <rv s="3">
    <v>&lt;class 'pandas.core.frame.DataFrame'&gt;</v>
    <v>DataFrame</v>
    <v xml:space="preserve">     OrderNum  OrderDate  OrderType  Quantity   Price  Discount  Order Total
0     1100948 2017-09-03     Retail         1   44.95     0.000       44.950
1     1101096 2017-09-24  Wholesale        10    4.99     0.998       48.902
2     1101138 2017-10...</v>
    <v>11</v>
    <v>3</v>
  </rv>
  <rv s="0">
    <fb>0</fb>
    <v>4</v>
  </rv>
  <rv s="3">
    <fb>0</fb>
    <v>&lt;class 'NoneType'&gt;</v>
    <v>NoneType</v>
    <v>None</v>
    <v>13</v>
    <v>3</v>
  </rv>
  <rv s="4">
    <v>0</v>
    <v>9</v>
  </rv>
  <rv s="1">
    <v>1</v>
  </rv>
  <rv s="5">
    <v>Image</v>
    <v>5</v>
    <v>15</v>
    <v>16</v>
  </rv>
  <rv s="3">
    <v>&lt;class 'PIL.PngImagePlugin.PngImageFile'&gt;</v>
    <v>PngImageFile</v>
    <v>&lt;PIL.PngImagePlugin.PngImageFile image mode=RGBA size=868x545 at 0x7F97D24DC350&gt;</v>
    <v>17</v>
    <v>3</v>
  </rv>
  <rv s="1">
    <v>2</v>
  </rv>
  <rv s="2">
    <v>DataFrame</v>
    <v>7</v>
    <v>19</v>
  </rv>
  <rv s="3">
    <v>&lt;class 'pandas.core.frame.DataFrame'&gt;</v>
    <v>DataFrame</v>
    <v xml:space="preserve">     OrderNum  OrderDate     ProdCategory  OrderType  Quantity   Price  \
0     1100948 2017-09-03  Training Videos     Retail         1   44.95   
1     1101096 2017-09-24       Blueprints  Wholesale        10    4.99   
2     1101138 2017-10-01      ...</v>
    <v>20</v>
    <v>3</v>
  </rv>
  <rv s="4">
    <v>1</v>
    <v>9</v>
  </rv>
  <rv s="1">
    <v>3</v>
  </rv>
  <rv s="5">
    <v>Image</v>
    <v>5</v>
    <v>22</v>
    <v>23</v>
  </rv>
  <rv s="3">
    <v>&lt;class 'PIL.PngImagePlugin.PngImageFile'&gt;</v>
    <v>PngImageFile</v>
    <v>&lt;PIL.PngImagePlugin.PngImageFile image mode=RGBA size=530x453 at 0x7F97D22C8DA0&gt;</v>
    <v>24</v>
    <v>3</v>
  </rv>
  <rv s="1">
    <v>4</v>
  </rv>
  <rv s="2">
    <v>DataFrame</v>
    <v>9</v>
    <v>26</v>
  </rv>
  <rv s="3">
    <v>&lt;class 'pandas.core.frame.DataFrame'&gt;</v>
    <v>DataFrame</v>
    <v xml:space="preserve">     OrderNum  OrderDate     ProdCategory  OrderType  Quantity   Price  \
0     1100948 2017-09-03  Training Videos     Retail         1   44.95   
1     1101096 2017-09-24       Blueprints  Wholesale        10    4.99   
2     1101138 2017-10-01      ...</v>
    <v>27</v>
    <v>3</v>
  </rv>
  <rv s="3">
    <v>&lt;class 'PIL.PngImagePlugin.PngImageFile'&gt;</v>
    <v>PngImageFile</v>
    <v>&lt;PIL.PngImagePlugin.PngImageFile image mode=RGBA size=530x453 at 0x7F97D24CC560&gt;</v>
    <v>24</v>
    <v>3</v>
  </rv>
  <rv s="0">
    <fb>43831</fb>
    <v>2</v>
  </rv>
  <rv s="0">
    <fb>43832</fb>
    <v>2</v>
  </rv>
  <rv s="0">
    <fb>43833</fb>
    <v>2</v>
  </rv>
  <rv s="0">
    <fb>0</fb>
    <v>12</v>
  </rv>
  <rv s="0">
    <fb>43834</fb>
    <v>2</v>
  </rv>
  <rv s="0">
    <fb>43835</fb>
    <v>2</v>
  </rv>
  <rv s="0">
    <fb>43836</fb>
    <v>2</v>
  </rv>
  <rv s="0">
    <fb>43837</fb>
    <v>2</v>
  </rv>
  <rv s="0">
    <fb>43838</fb>
    <v>2</v>
  </rv>
  <rv s="0">
    <fb>43839</fb>
    <v>2</v>
  </rv>
  <rv s="0">
    <fb>43840</fb>
    <v>2</v>
  </rv>
  <rv s="1">
    <v>5</v>
  </rv>
  <rv s="2">
    <v>DataFrame</v>
    <v>11</v>
    <v>41</v>
  </rv>
  <rv s="3">
    <v>&lt;class 'pandas.core.frame.DataFrame'&gt;</v>
    <v>DataFrame</v>
    <v xml:space="preserve">        Date  Stock_Price  Sales_Figures  Economic_Indicator
0 2020-01-01        100.0          190.0                 1.2
1 2020-01-02        101.0          230.0                 1.2
2 2020-01-03          NaN          250.0                 1.2
3 2020-0...</v>
    <v>42</v>
    <v>3</v>
  </rv>
  <rv s="1">
    <v>6</v>
  </rv>
  <rv s="2">
    <v>ndarray</v>
    <v>14</v>
    <v>44</v>
  </rv>
  <rv s="3">
    <v>&lt;class 'numpy.ndarray'&gt;</v>
    <v>ndarray</v>
    <v>[[100 101 102 103]
 [104 105 106 107]
 [108 109 100 101]]</v>
    <v>45</v>
    <v>3</v>
  </rv>
  <rv s="6">
    <fb>104.5</fb>
    <v>&lt;class 'numpy.float64'&gt;</v>
    <v>float64</v>
    <v>104.5</v>
    <v>104.5</v>
    <v>3</v>
  </rv>
  <rv s="6">
    <fb>2.8722813232690143</fb>
    <v>&lt;class 'numpy.float64'&gt;</v>
    <v>float64</v>
    <v>2.8722813232690143</v>
    <v>2.8722813232690143</v>
    <v>3</v>
  </rv>
  <rv s="1">
    <v>7</v>
  </rv>
  <rv s="2">
    <v>DataFrame</v>
    <v>11</v>
    <v>49</v>
  </rv>
  <rv s="3">
    <v>&lt;class 'pandas.core.frame.DataFrame'&gt;</v>
    <v>DataFrame</v>
    <v xml:space="preserve">        Date  Stock_Price  Sales_Figures  Economic_Indicator
0 2020-01-01          100            190                 1.5
1 2020-01-02          101            230                 1.6
2 2020-01-03          101            250                 1.7
3 2020-0...</v>
    <v>50</v>
    <v>3</v>
  </rv>
  <rv s="0">
    <fb>43857</fb>
    <v>2</v>
  </rv>
  <rv s="0">
    <fb>43858</fb>
    <v>2</v>
  </rv>
  <rv s="0">
    <fb>43859</fb>
    <v>2</v>
  </rv>
  <rv s="0">
    <fb>43860</fb>
    <v>2</v>
  </rv>
  <rv s="0">
    <fb>43861</fb>
    <v>2</v>
  </rv>
  <rv s="1">
    <v>8</v>
  </rv>
  <rv s="2">
    <v>DataFrame</v>
    <v>16</v>
    <v>57</v>
  </rv>
  <rv s="3">
    <v>&lt;class 'pandas.core.frame.DataFrame'&gt;</v>
    <v>DataFrame</v>
    <v xml:space="preserve">         Date        Open        High         Low       Close  Volume
0  2020-01-01  137.454012  144.789743  133.494113  139.230572    1067
1  2020-01-02  195.071431  200.245698  192.738940  199.241421    1017
2  2020-01-03  173.199394  177.139233  171...</v>
    <v>58</v>
    <v>3</v>
  </rv>
  <rv s="0">
    <fb>43856</fb>
    <v>2</v>
  </rv>
  <rv s="1">
    <v>9</v>
  </rv>
  <rv s="2">
    <v>DataFrame</v>
    <v>18</v>
    <v>61</v>
  </rv>
  <rv s="3">
    <v>&lt;class 'pandas.core.frame.DataFrame'&gt;</v>
    <v>DataFrame</v>
    <v xml:space="preserve">         Date        Open        High         Low       Close  Volume  \
0  2020-01-01  137.454012  144.789743  133.494113  139.230572    1067   
1  2020-01-02  195.071431  200.245698  192.738940  199.241421    1017   
2  2020-01-03  173.199394  177.13...</v>
    <v>62</v>
    <v>3</v>
  </rv>
  <rv s="1">
    <v>10</v>
  </rv>
  <rv s="2">
    <v>DataFrame</v>
    <v>20</v>
    <v>64</v>
  </rv>
  <rv s="3">
    <v>&lt;class 'pandas.core.frame.DataFrame'&gt;</v>
    <v>DataFrame</v>
    <v xml:space="preserve">      Month  Sales  Advertising_Spend  Economic_Indicator  Seasonal_Factor
0   2020-01  20000               1500                 1.1              0.8
1   2020-02  21000               1600                 1.2              0.9
2   2020-03  25000         ...</v>
    <v>65</v>
    <v>3</v>
  </rv>
  <rv s="0">
    <fb>43862</fb>
    <v>2</v>
  </rv>
  <rv s="0">
    <fb>43891</fb>
    <v>2</v>
  </rv>
  <rv s="0">
    <fb>43922</fb>
    <v>2</v>
  </rv>
  <rv s="0">
    <fb>43952</fb>
    <v>2</v>
  </rv>
  <rv s="0">
    <fb>44044</fb>
    <v>2</v>
  </rv>
  <rv s="0">
    <fb>44075</fb>
    <v>2</v>
  </rv>
  <rv s="0">
    <fb>44105</fb>
    <v>2</v>
  </rv>
  <rv s="0">
    <fb>44136</fb>
    <v>2</v>
  </rv>
  <rv s="0">
    <fb>44166</fb>
    <v>2</v>
  </rv>
  <rv s="1">
    <v>11</v>
  </rv>
  <rv s="2">
    <v>DataFrame</v>
    <v>20</v>
    <v>76</v>
  </rv>
  <rv s="3">
    <v>&lt;class 'pandas.core.frame.DataFrame'&gt;</v>
    <v>DataFrame</v>
    <v xml:space="preserve">        Month  Sales  Advertising_Spend  Economic_Indicator  Seasonal_Factor
0  2020-01-01  20000               1500                 1.1              0.8
1  2020-02-01  21000               1600                 1.2              0.9
2  2020-03-01  25000 ...</v>
    <v>77</v>
    <v>3</v>
  </rv>
  <rv s="0">
    <fb>43466</fb>
    <v>2</v>
  </rv>
  <rv s="0">
    <fb>43497</fb>
    <v>2</v>
  </rv>
  <rv s="0">
    <fb>43525</fb>
    <v>2</v>
  </rv>
  <rv s="0">
    <fb>43556</fb>
    <v>2</v>
  </rv>
  <rv s="0">
    <fb>43586</fb>
    <v>2</v>
  </rv>
  <rv s="0">
    <fb>45139</fb>
    <v>2</v>
  </rv>
  <rv s="0">
    <fb>45170</fb>
    <v>2</v>
  </rv>
  <rv s="0">
    <fb>45200</fb>
    <v>2</v>
  </rv>
  <rv s="0">
    <fb>45231</fb>
    <v>2</v>
  </rv>
  <rv s="0">
    <fb>45261</fb>
    <v>2</v>
  </rv>
  <rv s="1">
    <v>12</v>
  </rv>
  <rv s="2">
    <v>DataFrame</v>
    <v>22</v>
    <v>89</v>
  </rv>
  <rv s="3">
    <v>&lt;class 'pandas.core.frame.DataFrame'&gt;</v>
    <v>DataFrame</v>
    <v xml:space="preserve">        Month  Revenue
0  2019-01-01     1483
1  2019-02-01     1382
2  2019-03-01     1367
3  2019-04-01     1206
4  2019-05-01     1290
5  2019-06-01     1323
6  2019-07-01     1498
7  2019-08-01     1485
8  2019-09-01     1212
9  2019-10-01     1095...</v>
    <v>90</v>
    <v>3</v>
  </rv>
  <rv s="4">
    <v>2</v>
    <v>9</v>
  </rv>
  <rv s="1">
    <v>13</v>
  </rv>
  <rv s="5">
    <v>Image</v>
    <v>5</v>
    <v>92</v>
    <v>93</v>
  </rv>
  <rv s="3">
    <v>&lt;class 'PIL.PngImagePlugin.PngImageFile'&gt;</v>
    <v>PngImageFile</v>
    <v>&lt;PIL.PngImagePlugin.PngImageFile image mode=RGBA size=859x545 at 0x7F97DCD2C6E0&gt;</v>
    <v>94</v>
    <v>3</v>
  </rv>
  <rv s="0">
    <fb>45292</fb>
    <v>2</v>
  </rv>
  <rv s="0">
    <fb>45323</fb>
    <v>2</v>
  </rv>
  <rv s="0">
    <fb>45352</fb>
    <v>2</v>
  </rv>
  <rv s="0">
    <fb>45383</fb>
    <v>2</v>
  </rv>
  <rv s="0">
    <fb>45413</fb>
    <v>2</v>
  </rv>
  <rv s="0">
    <fb>45505</fb>
    <v>2</v>
  </rv>
  <rv s="0">
    <fb>45536</fb>
    <v>2</v>
  </rv>
  <rv s="0">
    <fb>45566</fb>
    <v>2</v>
  </rv>
  <rv s="0">
    <fb>45597</fb>
    <v>2</v>
  </rv>
  <rv s="0">
    <fb>45627</fb>
    <v>2</v>
  </rv>
  <rv s="1">
    <v>14</v>
  </rv>
  <rv s="2">
    <v>DataFrame</v>
    <v>24</v>
    <v>106</v>
  </rv>
  <rv s="3">
    <v>&lt;class 'pandas.core.frame.DataFrame'&gt;</v>
    <v>DataFrame</v>
    <v xml:space="preserve">        Month      Revenue
0  2024-01-01  1210.796065
1  2024-02-01  1210.025996
2  2024-03-01  1209.305609
3  2024-04-01  1208.535540
4  2024-05-01  1207.790312
5  2024-06-01  1207.020243
6  2024-07-01  1206.275015
7  2024-08-01  1205.504946
8  2024-0...</v>
    <v>107</v>
    <v>3</v>
  </rv>
  <rv s="3">
    <v>&lt;class 'PIL.PngImagePlugin.PngImageFile'&gt;</v>
    <v>PngImageFile</v>
    <v>&lt;PIL.PngImagePlugin.PngImageFile image mode=RGBA size=859x545 at 0x7F97D24FDBB0&gt;</v>
    <v>94</v>
    <v>3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25">
    <spb s="0">
      <v>198</v>
      <v>7</v>
      <v>DataFrame</v>
      <v>arrayPreview</v>
      <v>1</v>
    </spb>
    <spb s="1">
      <v>0</v>
    </spb>
    <spb s="2">
      <v>1</v>
    </spb>
    <spb s="3">
      <v>https://www.anaconda.com/excel</v>
      <v>https://res.cdn.office.net/officepysvc/prod-service/anacondalogo.png</v>
      <v>Python provided by Anaconda</v>
    </spb>
    <spb s="2">
      <v>2</v>
    </spb>
    <spb s="4">
      <v>3</v>
    </spb>
    <spb s="0">
      <v>198</v>
      <v>8</v>
      <v>DataFrame</v>
      <v>arrayPreview</v>
      <v>1</v>
    </spb>
    <spb s="1">
      <v>6</v>
    </spb>
    <spb s="0">
      <v>198</v>
      <v>9</v>
      <v>DataFrame</v>
      <v>arrayPreview</v>
      <v>1</v>
    </spb>
    <spb s="1">
      <v>8</v>
    </spb>
    <spb s="0">
      <v>10</v>
      <v>4</v>
      <v>DataFrame</v>
      <v>arrayPreview</v>
      <v>1</v>
    </spb>
    <spb s="1">
      <v>10</v>
    </spb>
    <spb s="2">
      <v>4</v>
    </spb>
    <spb s="5">
      <v>3</v>
      <v>4</v>
      <v>ndarray</v>
      <v>arrayPreview</v>
    </spb>
    <spb s="1">
      <v>13</v>
    </spb>
    <spb s="0">
      <v>31</v>
      <v>6</v>
      <v>DataFrame</v>
      <v>arrayPreview</v>
      <v>1</v>
    </spb>
    <spb s="1">
      <v>15</v>
    </spb>
    <spb s="0">
      <v>30</v>
      <v>7</v>
      <v>DataFrame</v>
      <v>arrayPreview</v>
      <v>1</v>
    </spb>
    <spb s="1">
      <v>17</v>
    </spb>
    <spb s="0">
      <v>12</v>
      <v>5</v>
      <v>DataFrame</v>
      <v>arrayPreview</v>
      <v>1</v>
    </spb>
    <spb s="1">
      <v>19</v>
    </spb>
    <spb s="0">
      <v>60</v>
      <v>2</v>
      <v>DataFrame</v>
      <v>arrayPreview</v>
      <v>1</v>
    </spb>
    <spb s="1">
      <v>21</v>
    </spb>
    <spb s="0">
      <v>12</v>
      <v>2</v>
      <v>DataFrame</v>
      <v>arrayPreview</v>
      <v>1</v>
    </spb>
    <spb s="1">
      <v>23</v>
    </spb>
  </spbData>
</supportingPropertyBags>
</file>

<file path=xl/richData/rdsupportingpropertybagstructure.xml><?xml version="1.0" encoding="utf-8"?>
<spbStructures xmlns="http://schemas.microsoft.com/office/spreadsheetml/2017/richdata2" count="6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  <s>
    <k n="drw" t="i"/>
    <k n="dcol" t="i"/>
    <k n="name" t="s"/>
    <k n="array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  <rPr n="IsHeroField" t="b"/>
  </richProperties>
  <richStyles>
    <rSty dxfid="0"/>
    <rSty dxfid="1">
      <rpv i="0">0;-0;"None"</rpv>
    </rSty>
    <rSty>
      <rpv i="1">1</rpv>
    </rSty>
    <rSty dxfid="1">
      <rpv i="0">0;-0;"nan"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0F9F-C5C5-4ECB-91D8-122569DA2C72}">
  <sheetPr>
    <tabColor theme="9" tint="-0.499984740745262"/>
  </sheetPr>
  <dimension ref="B2:J201"/>
  <sheetViews>
    <sheetView showGridLines="0" zoomScale="90" zoomScaleNormal="90" workbookViewId="0">
      <selection activeCell="J4" sqref="J4"/>
    </sheetView>
  </sheetViews>
  <sheetFormatPr defaultRowHeight="14.4" x14ac:dyDescent="0.3"/>
  <cols>
    <col min="2" max="2" width="10.21875" customWidth="1"/>
    <col min="3" max="3" width="15.21875" bestFit="1" customWidth="1"/>
    <col min="4" max="8" width="10.21875" customWidth="1"/>
    <col min="10" max="10" width="15.33203125" customWidth="1"/>
  </cols>
  <sheetData>
    <row r="2" spans="2:10" x14ac:dyDescent="0.3">
      <c r="B2" s="3" t="s">
        <v>18</v>
      </c>
      <c r="C2" s="3"/>
      <c r="D2" s="3"/>
      <c r="E2" s="3"/>
      <c r="F2" s="3"/>
      <c r="G2" s="3"/>
      <c r="H2" s="3"/>
      <c r="J2" s="4" t="s">
        <v>19</v>
      </c>
    </row>
    <row r="3" spans="2:10" s="16" customFormat="1" ht="27" customHeight="1" x14ac:dyDescent="0.3">
      <c r="B3" s="15" t="s">
        <v>1</v>
      </c>
      <c r="C3" s="15" t="s">
        <v>2</v>
      </c>
      <c r="D3" s="15" t="s">
        <v>3</v>
      </c>
      <c r="E3" s="15" t="s">
        <v>5</v>
      </c>
      <c r="F3" s="15" t="s">
        <v>6</v>
      </c>
      <c r="G3" s="15" t="s">
        <v>7</v>
      </c>
      <c r="H3" s="15" t="s">
        <v>8</v>
      </c>
    </row>
    <row r="4" spans="2:10" x14ac:dyDescent="0.3">
      <c r="B4">
        <v>1100948</v>
      </c>
      <c r="C4" s="8">
        <v>42981</v>
      </c>
      <c r="D4" t="s">
        <v>9</v>
      </c>
      <c r="E4" s="7">
        <v>1</v>
      </c>
      <c r="F4" s="7">
        <v>44.95</v>
      </c>
      <c r="G4" s="7">
        <v>0</v>
      </c>
      <c r="H4" s="7">
        <v>44.95</v>
      </c>
      <c r="J4" s="5" t="e" cm="1" vm="1">
        <f t="array" ref="J4">_xlfn._xlws.PY(0,1,B3:H201)</f>
        <v>#VALUE!</v>
      </c>
    </row>
    <row r="5" spans="2:10" x14ac:dyDescent="0.3">
      <c r="B5">
        <v>1101096</v>
      </c>
      <c r="C5" s="8">
        <v>43002</v>
      </c>
      <c r="D5" t="s">
        <v>11</v>
      </c>
      <c r="E5" s="7">
        <v>10</v>
      </c>
      <c r="F5" s="7">
        <v>4.99</v>
      </c>
      <c r="G5" s="7">
        <v>0.99800000000000011</v>
      </c>
      <c r="H5" s="7">
        <v>48.902000000000008</v>
      </c>
      <c r="J5" s="5"/>
    </row>
    <row r="6" spans="2:10" x14ac:dyDescent="0.3">
      <c r="B6">
        <v>1101138</v>
      </c>
      <c r="C6" s="8">
        <v>43009</v>
      </c>
      <c r="D6" t="s">
        <v>11</v>
      </c>
      <c r="E6" s="7">
        <v>4</v>
      </c>
      <c r="F6" s="7">
        <v>250</v>
      </c>
      <c r="G6" s="7">
        <v>50</v>
      </c>
      <c r="H6" s="7">
        <v>950</v>
      </c>
      <c r="J6" s="5" cm="1" vm="2">
        <f t="array" ref="J6">_xlfn._xlws.PY(1,1)</f>
        <v>0</v>
      </c>
    </row>
    <row r="7" spans="2:10" x14ac:dyDescent="0.3">
      <c r="B7">
        <v>1101158</v>
      </c>
      <c r="C7" s="8">
        <v>43011</v>
      </c>
      <c r="D7" t="s">
        <v>9</v>
      </c>
      <c r="E7" s="7">
        <v>1</v>
      </c>
      <c r="F7" s="7">
        <v>250</v>
      </c>
      <c r="G7" s="7">
        <v>0</v>
      </c>
      <c r="H7" s="7">
        <v>250</v>
      </c>
      <c r="J7" s="5"/>
    </row>
    <row r="8" spans="2:10" x14ac:dyDescent="0.3">
      <c r="B8">
        <v>1101181</v>
      </c>
      <c r="C8" s="8">
        <v>43017</v>
      </c>
      <c r="D8" t="s">
        <v>9</v>
      </c>
      <c r="E8" s="7">
        <v>1</v>
      </c>
      <c r="F8" s="7">
        <v>13.99</v>
      </c>
      <c r="G8" s="7">
        <v>0</v>
      </c>
      <c r="H8" s="7">
        <v>13.99</v>
      </c>
      <c r="J8" s="5" t="e" cm="1" vm="3">
        <f t="array" ref="J8">_xlfn._xlws.PY(2,1)</f>
        <v>#VALUE!</v>
      </c>
    </row>
    <row r="9" spans="2:10" x14ac:dyDescent="0.3">
      <c r="B9">
        <v>1101354</v>
      </c>
      <c r="C9" s="8">
        <v>43039</v>
      </c>
      <c r="D9" t="s">
        <v>11</v>
      </c>
      <c r="E9" s="7">
        <v>8</v>
      </c>
      <c r="F9" s="7">
        <v>49</v>
      </c>
      <c r="G9" s="7">
        <v>9.8000000000000007</v>
      </c>
      <c r="H9" s="7">
        <v>382.2</v>
      </c>
    </row>
    <row r="10" spans="2:10" x14ac:dyDescent="0.3">
      <c r="B10">
        <v>1101475</v>
      </c>
      <c r="C10" s="8">
        <v>43057</v>
      </c>
      <c r="D10" t="s">
        <v>9</v>
      </c>
      <c r="E10" s="7">
        <v>1</v>
      </c>
      <c r="F10" s="7">
        <v>599</v>
      </c>
      <c r="G10" s="7">
        <v>0</v>
      </c>
      <c r="H10" s="7">
        <v>599</v>
      </c>
    </row>
    <row r="11" spans="2:10" x14ac:dyDescent="0.3">
      <c r="B11">
        <v>1101495</v>
      </c>
      <c r="C11" s="8">
        <v>43061</v>
      </c>
      <c r="D11" t="s">
        <v>11</v>
      </c>
      <c r="E11" s="7">
        <v>13</v>
      </c>
      <c r="F11" s="7">
        <v>899</v>
      </c>
      <c r="G11" s="7">
        <v>179.8</v>
      </c>
      <c r="H11" s="7">
        <v>11507.2</v>
      </c>
    </row>
    <row r="12" spans="2:10" x14ac:dyDescent="0.3">
      <c r="B12">
        <v>1101685</v>
      </c>
      <c r="C12" s="8">
        <v>43087</v>
      </c>
      <c r="D12" t="s">
        <v>9</v>
      </c>
      <c r="E12" s="7">
        <v>1</v>
      </c>
      <c r="F12" s="7">
        <v>119</v>
      </c>
      <c r="G12" s="6">
        <v>0</v>
      </c>
      <c r="H12" s="7">
        <v>119</v>
      </c>
    </row>
    <row r="13" spans="2:10" x14ac:dyDescent="0.3">
      <c r="B13">
        <v>1101743</v>
      </c>
      <c r="C13" s="8">
        <v>43096</v>
      </c>
      <c r="D13" t="s">
        <v>11</v>
      </c>
      <c r="E13" s="7">
        <v>6</v>
      </c>
      <c r="F13" s="7">
        <v>179</v>
      </c>
      <c r="G13" s="7">
        <v>35.800000000000004</v>
      </c>
      <c r="H13" s="7">
        <v>1038.2</v>
      </c>
    </row>
    <row r="14" spans="2:10" x14ac:dyDescent="0.3">
      <c r="B14">
        <v>1101825</v>
      </c>
      <c r="C14" s="8">
        <v>43108</v>
      </c>
      <c r="D14" t="s">
        <v>11</v>
      </c>
      <c r="E14" s="7">
        <v>4</v>
      </c>
      <c r="F14" s="7">
        <v>189</v>
      </c>
      <c r="G14" s="7">
        <v>37.800000000000004</v>
      </c>
      <c r="H14" s="7">
        <v>718.2</v>
      </c>
    </row>
    <row r="15" spans="2:10" x14ac:dyDescent="0.3">
      <c r="B15">
        <v>1101839</v>
      </c>
      <c r="C15" s="8">
        <v>43109</v>
      </c>
      <c r="D15" t="s">
        <v>11</v>
      </c>
      <c r="E15" s="7">
        <v>8</v>
      </c>
      <c r="F15" s="7">
        <v>29.99</v>
      </c>
      <c r="G15" s="7">
        <v>5.9980000000000002</v>
      </c>
      <c r="H15" s="7">
        <v>233.922</v>
      </c>
    </row>
    <row r="16" spans="2:10" x14ac:dyDescent="0.3">
      <c r="B16">
        <v>1101902</v>
      </c>
      <c r="C16" s="8">
        <v>43119</v>
      </c>
      <c r="D16" t="s">
        <v>11</v>
      </c>
      <c r="E16" s="7">
        <v>5</v>
      </c>
      <c r="F16" s="7">
        <v>7.99</v>
      </c>
      <c r="G16" s="7">
        <v>1.5980000000000001</v>
      </c>
      <c r="H16" s="7">
        <v>38.352000000000004</v>
      </c>
    </row>
    <row r="17" spans="2:8" x14ac:dyDescent="0.3">
      <c r="B17">
        <v>1101926</v>
      </c>
      <c r="C17" s="8">
        <v>43122</v>
      </c>
      <c r="D17" t="s">
        <v>11</v>
      </c>
      <c r="E17" s="7">
        <v>6</v>
      </c>
      <c r="F17" s="7">
        <v>29.99</v>
      </c>
      <c r="G17" s="7">
        <v>5.9980000000000002</v>
      </c>
      <c r="H17" s="7">
        <v>173.94200000000001</v>
      </c>
    </row>
    <row r="18" spans="2:8" x14ac:dyDescent="0.3">
      <c r="B18">
        <v>1101945</v>
      </c>
      <c r="C18" s="8">
        <v>43125</v>
      </c>
      <c r="D18" t="s">
        <v>9</v>
      </c>
      <c r="E18" s="7">
        <v>1</v>
      </c>
      <c r="F18" s="7">
        <v>19.989999999999998</v>
      </c>
      <c r="G18" s="7">
        <v>0</v>
      </c>
      <c r="H18" s="7">
        <v>19.989999999999998</v>
      </c>
    </row>
    <row r="19" spans="2:8" x14ac:dyDescent="0.3">
      <c r="B19">
        <v>1102052</v>
      </c>
      <c r="C19" s="8">
        <v>43143</v>
      </c>
      <c r="D19" t="s">
        <v>11</v>
      </c>
      <c r="E19" s="7">
        <v>6</v>
      </c>
      <c r="F19" s="7">
        <v>4.99</v>
      </c>
      <c r="G19" s="7">
        <v>0.99800000000000011</v>
      </c>
      <c r="H19" s="7">
        <v>28.942</v>
      </c>
    </row>
    <row r="20" spans="2:8" x14ac:dyDescent="0.3">
      <c r="B20">
        <v>1102085</v>
      </c>
      <c r="C20" s="8">
        <v>43149</v>
      </c>
      <c r="D20" t="s">
        <v>11</v>
      </c>
      <c r="E20" s="7">
        <v>9</v>
      </c>
      <c r="F20" s="7">
        <v>24.99</v>
      </c>
      <c r="G20" s="7">
        <v>4.9980000000000002</v>
      </c>
      <c r="H20" s="7">
        <v>219.91200000000001</v>
      </c>
    </row>
    <row r="21" spans="2:8" x14ac:dyDescent="0.3">
      <c r="B21">
        <v>1102227</v>
      </c>
      <c r="C21" s="8">
        <v>43168</v>
      </c>
      <c r="D21" t="s">
        <v>11</v>
      </c>
      <c r="E21" s="7">
        <v>15</v>
      </c>
      <c r="F21" s="7">
        <v>13.99</v>
      </c>
      <c r="G21" s="7">
        <v>2.798</v>
      </c>
      <c r="H21" s="7">
        <v>207.05199999999999</v>
      </c>
    </row>
    <row r="22" spans="2:8" x14ac:dyDescent="0.3">
      <c r="B22">
        <v>1102305</v>
      </c>
      <c r="C22" s="8">
        <v>43180</v>
      </c>
      <c r="D22" t="s">
        <v>11</v>
      </c>
      <c r="E22" s="7">
        <v>9</v>
      </c>
      <c r="F22" s="7">
        <v>37.99</v>
      </c>
      <c r="G22" s="7">
        <v>7.5980000000000008</v>
      </c>
      <c r="H22" s="7">
        <v>334.31200000000001</v>
      </c>
    </row>
    <row r="23" spans="2:8" x14ac:dyDescent="0.3">
      <c r="B23">
        <v>1102306</v>
      </c>
      <c r="C23" s="8">
        <v>43180</v>
      </c>
      <c r="D23" t="s">
        <v>11</v>
      </c>
      <c r="E23" s="7">
        <v>6</v>
      </c>
      <c r="F23" s="7">
        <v>16.989999999999998</v>
      </c>
      <c r="G23" s="7">
        <v>3.3979999999999997</v>
      </c>
      <c r="H23" s="7">
        <v>98.542000000000002</v>
      </c>
    </row>
    <row r="24" spans="2:8" x14ac:dyDescent="0.3">
      <c r="B24">
        <v>1102439</v>
      </c>
      <c r="C24" s="8">
        <v>43201</v>
      </c>
      <c r="D24" t="s">
        <v>11</v>
      </c>
      <c r="E24" s="7">
        <v>9</v>
      </c>
      <c r="F24" s="7">
        <v>8.99</v>
      </c>
      <c r="G24" s="7">
        <v>1.798</v>
      </c>
      <c r="H24" s="7">
        <v>79.111999999999995</v>
      </c>
    </row>
    <row r="25" spans="2:8" x14ac:dyDescent="0.3">
      <c r="B25">
        <v>1102469</v>
      </c>
      <c r="C25" s="8">
        <v>43205</v>
      </c>
      <c r="D25" t="s">
        <v>9</v>
      </c>
      <c r="E25" s="7">
        <v>2</v>
      </c>
      <c r="F25" s="7">
        <v>699</v>
      </c>
      <c r="G25" s="7">
        <v>0</v>
      </c>
      <c r="H25" s="7">
        <v>1398</v>
      </c>
    </row>
    <row r="26" spans="2:8" x14ac:dyDescent="0.3">
      <c r="B26">
        <v>1102578</v>
      </c>
      <c r="C26" s="8">
        <v>43222</v>
      </c>
      <c r="D26" t="s">
        <v>11</v>
      </c>
      <c r="E26" s="7">
        <v>5</v>
      </c>
      <c r="F26" s="7">
        <v>450</v>
      </c>
      <c r="G26" s="7">
        <v>90</v>
      </c>
      <c r="H26" s="7">
        <v>2160</v>
      </c>
    </row>
    <row r="27" spans="2:8" x14ac:dyDescent="0.3">
      <c r="B27">
        <v>1102680</v>
      </c>
      <c r="C27" s="8">
        <v>43235</v>
      </c>
      <c r="D27" t="s">
        <v>9</v>
      </c>
      <c r="E27" s="7">
        <v>1</v>
      </c>
      <c r="F27" s="7">
        <v>8.99</v>
      </c>
      <c r="G27" s="7">
        <v>0</v>
      </c>
      <c r="H27" s="7">
        <v>8.99</v>
      </c>
    </row>
    <row r="28" spans="2:8" x14ac:dyDescent="0.3">
      <c r="B28">
        <v>1102697</v>
      </c>
      <c r="C28" s="8">
        <v>43238</v>
      </c>
      <c r="D28" t="s">
        <v>9</v>
      </c>
      <c r="E28" s="7">
        <v>1</v>
      </c>
      <c r="F28" s="7">
        <v>12</v>
      </c>
      <c r="G28" s="7">
        <v>0</v>
      </c>
      <c r="H28" s="7">
        <v>12</v>
      </c>
    </row>
    <row r="29" spans="2:8" x14ac:dyDescent="0.3">
      <c r="B29">
        <v>1102745</v>
      </c>
      <c r="C29" s="8">
        <v>43245</v>
      </c>
      <c r="D29" t="s">
        <v>11</v>
      </c>
      <c r="E29" s="7">
        <v>9</v>
      </c>
      <c r="F29" s="7">
        <v>12</v>
      </c>
      <c r="G29" s="7">
        <v>2.4000000000000004</v>
      </c>
      <c r="H29" s="7">
        <v>105.6</v>
      </c>
    </row>
    <row r="30" spans="2:8" x14ac:dyDescent="0.3">
      <c r="B30">
        <v>1103009</v>
      </c>
      <c r="C30" s="8">
        <v>43282</v>
      </c>
      <c r="D30" t="s">
        <v>11</v>
      </c>
      <c r="E30" s="7">
        <v>8</v>
      </c>
      <c r="F30" s="7">
        <v>189</v>
      </c>
      <c r="G30" s="7">
        <v>37.800000000000004</v>
      </c>
      <c r="H30" s="7">
        <v>1474.2</v>
      </c>
    </row>
    <row r="31" spans="2:8" x14ac:dyDescent="0.3">
      <c r="B31">
        <v>1103056</v>
      </c>
      <c r="C31" s="8">
        <v>43288</v>
      </c>
      <c r="D31" t="s">
        <v>9</v>
      </c>
      <c r="E31" s="7">
        <v>1</v>
      </c>
      <c r="F31" s="7">
        <v>49.95</v>
      </c>
      <c r="G31" s="7">
        <v>0</v>
      </c>
      <c r="H31" s="7">
        <v>49.95</v>
      </c>
    </row>
    <row r="32" spans="2:8" x14ac:dyDescent="0.3">
      <c r="B32">
        <v>1103206</v>
      </c>
      <c r="C32" s="8">
        <v>43307</v>
      </c>
      <c r="D32" t="s">
        <v>9</v>
      </c>
      <c r="E32" s="7">
        <v>1</v>
      </c>
      <c r="F32" s="7">
        <v>189</v>
      </c>
      <c r="G32" s="7">
        <v>0</v>
      </c>
      <c r="H32" s="7">
        <v>189</v>
      </c>
    </row>
    <row r="33" spans="2:8" x14ac:dyDescent="0.3">
      <c r="B33">
        <v>1103219</v>
      </c>
      <c r="C33" s="8">
        <v>43308</v>
      </c>
      <c r="D33" t="s">
        <v>11</v>
      </c>
      <c r="E33" s="7">
        <v>53</v>
      </c>
      <c r="F33" s="7">
        <v>69</v>
      </c>
      <c r="G33" s="7">
        <v>13.8</v>
      </c>
      <c r="H33" s="7">
        <v>3643.2</v>
      </c>
    </row>
    <row r="34" spans="2:8" x14ac:dyDescent="0.3">
      <c r="B34">
        <v>1103275</v>
      </c>
      <c r="C34" s="8">
        <v>43315</v>
      </c>
      <c r="D34" t="s">
        <v>9</v>
      </c>
      <c r="E34" s="7">
        <v>1</v>
      </c>
      <c r="F34" s="7">
        <v>15.5</v>
      </c>
      <c r="G34" s="7">
        <v>0</v>
      </c>
      <c r="H34" s="7">
        <v>15.5</v>
      </c>
    </row>
    <row r="35" spans="2:8" x14ac:dyDescent="0.3">
      <c r="B35">
        <v>1103291</v>
      </c>
      <c r="C35" s="8">
        <v>43317</v>
      </c>
      <c r="D35" t="s">
        <v>9</v>
      </c>
      <c r="E35" s="7">
        <v>1</v>
      </c>
      <c r="F35" s="7">
        <v>883</v>
      </c>
      <c r="G35" s="7">
        <v>0</v>
      </c>
      <c r="H35" s="7">
        <v>883</v>
      </c>
    </row>
    <row r="36" spans="2:8" x14ac:dyDescent="0.3">
      <c r="B36">
        <v>1103289</v>
      </c>
      <c r="C36" s="8">
        <v>43317</v>
      </c>
      <c r="D36" t="s">
        <v>9</v>
      </c>
      <c r="E36" s="7">
        <v>1</v>
      </c>
      <c r="F36" s="7">
        <v>16.989999999999998</v>
      </c>
      <c r="G36" s="7">
        <v>0</v>
      </c>
      <c r="H36" s="7">
        <v>16.989999999999998</v>
      </c>
    </row>
    <row r="37" spans="2:8" x14ac:dyDescent="0.3">
      <c r="B37">
        <v>1103301</v>
      </c>
      <c r="C37" s="8">
        <v>43319</v>
      </c>
      <c r="D37" t="s">
        <v>9</v>
      </c>
      <c r="E37" s="7">
        <v>1</v>
      </c>
      <c r="F37" s="7">
        <v>13.99</v>
      </c>
      <c r="G37" s="7">
        <v>0</v>
      </c>
      <c r="H37" s="7">
        <v>13.99</v>
      </c>
    </row>
    <row r="38" spans="2:8" x14ac:dyDescent="0.3">
      <c r="B38">
        <v>1103413</v>
      </c>
      <c r="C38" s="8">
        <v>43334</v>
      </c>
      <c r="D38" t="s">
        <v>9</v>
      </c>
      <c r="E38" s="7">
        <v>1</v>
      </c>
      <c r="F38" s="7">
        <v>16.75</v>
      </c>
      <c r="G38" s="7">
        <v>0</v>
      </c>
      <c r="H38" s="7">
        <v>16.75</v>
      </c>
    </row>
    <row r="39" spans="2:8" x14ac:dyDescent="0.3">
      <c r="B39">
        <v>1103565</v>
      </c>
      <c r="C39" s="8">
        <v>43355</v>
      </c>
      <c r="D39" t="s">
        <v>11</v>
      </c>
      <c r="E39" s="7">
        <v>6</v>
      </c>
      <c r="F39" s="7">
        <v>16.989999999999998</v>
      </c>
      <c r="G39" s="7">
        <v>3.3979999999999997</v>
      </c>
      <c r="H39" s="7">
        <v>98.542000000000002</v>
      </c>
    </row>
    <row r="40" spans="2:8" x14ac:dyDescent="0.3">
      <c r="B40">
        <v>1103780</v>
      </c>
      <c r="C40" s="8">
        <v>43389</v>
      </c>
      <c r="D40" t="s">
        <v>11</v>
      </c>
      <c r="E40" s="7">
        <v>8</v>
      </c>
      <c r="F40" s="7">
        <v>15.5</v>
      </c>
      <c r="G40" s="7">
        <v>3.1</v>
      </c>
      <c r="H40" s="7">
        <v>120.9</v>
      </c>
    </row>
    <row r="41" spans="2:8" x14ac:dyDescent="0.3">
      <c r="B41">
        <v>1103787</v>
      </c>
      <c r="C41" s="8">
        <v>43390</v>
      </c>
      <c r="D41" t="s">
        <v>9</v>
      </c>
      <c r="E41" s="7">
        <v>1</v>
      </c>
      <c r="F41" s="7">
        <v>44.95</v>
      </c>
      <c r="G41" s="7">
        <v>0</v>
      </c>
      <c r="H41" s="7">
        <v>44.95</v>
      </c>
    </row>
    <row r="42" spans="2:8" x14ac:dyDescent="0.3">
      <c r="B42">
        <v>1103799</v>
      </c>
      <c r="C42" s="8">
        <v>43391</v>
      </c>
      <c r="D42" t="s">
        <v>11</v>
      </c>
      <c r="E42" s="7">
        <v>78</v>
      </c>
      <c r="F42" s="7">
        <v>44.95</v>
      </c>
      <c r="G42" s="7">
        <v>8.99</v>
      </c>
      <c r="H42" s="7">
        <v>3497.1100000000006</v>
      </c>
    </row>
    <row r="43" spans="2:8" x14ac:dyDescent="0.3">
      <c r="B43">
        <v>1103887</v>
      </c>
      <c r="C43" s="8">
        <v>43406</v>
      </c>
      <c r="D43" t="s">
        <v>11</v>
      </c>
      <c r="E43" s="7">
        <v>6</v>
      </c>
      <c r="F43" s="7">
        <v>599</v>
      </c>
      <c r="G43" s="7">
        <v>119.80000000000001</v>
      </c>
      <c r="H43" s="7">
        <v>3474.2</v>
      </c>
    </row>
    <row r="44" spans="2:8" x14ac:dyDescent="0.3">
      <c r="B44">
        <v>1104015</v>
      </c>
      <c r="C44" s="8">
        <v>43424</v>
      </c>
      <c r="D44" t="s">
        <v>9</v>
      </c>
      <c r="E44" s="7">
        <v>1</v>
      </c>
      <c r="F44" s="7">
        <v>37.99</v>
      </c>
      <c r="G44" s="7">
        <v>0</v>
      </c>
      <c r="H44" s="7">
        <v>37.99</v>
      </c>
    </row>
    <row r="45" spans="2:8" x14ac:dyDescent="0.3">
      <c r="B45">
        <v>1104089</v>
      </c>
      <c r="C45" s="8">
        <v>43438</v>
      </c>
      <c r="D45" t="s">
        <v>9</v>
      </c>
      <c r="E45" s="7">
        <v>1</v>
      </c>
      <c r="F45" s="7">
        <v>599</v>
      </c>
      <c r="G45" s="7">
        <v>0</v>
      </c>
      <c r="H45" s="7">
        <v>599</v>
      </c>
    </row>
    <row r="46" spans="2:8" x14ac:dyDescent="0.3">
      <c r="B46">
        <v>1104242</v>
      </c>
      <c r="C46" s="8">
        <v>43457</v>
      </c>
      <c r="D46" t="s">
        <v>9</v>
      </c>
      <c r="E46" s="7">
        <v>1</v>
      </c>
      <c r="F46" s="7">
        <v>222</v>
      </c>
      <c r="G46" s="7">
        <v>0</v>
      </c>
      <c r="H46" s="7">
        <v>222</v>
      </c>
    </row>
    <row r="47" spans="2:8" x14ac:dyDescent="0.3">
      <c r="B47">
        <v>1104323</v>
      </c>
      <c r="C47" s="8">
        <v>43467</v>
      </c>
      <c r="D47" t="s">
        <v>11</v>
      </c>
      <c r="E47" s="7">
        <v>5</v>
      </c>
      <c r="F47" s="7">
        <v>499</v>
      </c>
      <c r="G47" s="7">
        <v>99.800000000000011</v>
      </c>
      <c r="H47" s="7">
        <v>2395.1999999999998</v>
      </c>
    </row>
    <row r="48" spans="2:8" x14ac:dyDescent="0.3">
      <c r="B48">
        <v>1104380</v>
      </c>
      <c r="C48" s="8">
        <v>43476</v>
      </c>
      <c r="D48" t="s">
        <v>11</v>
      </c>
      <c r="E48" s="7">
        <v>8</v>
      </c>
      <c r="F48" s="7">
        <v>4.99</v>
      </c>
      <c r="G48" s="7">
        <v>0.99800000000000011</v>
      </c>
      <c r="H48" s="7">
        <v>38.922000000000004</v>
      </c>
    </row>
    <row r="49" spans="2:8" x14ac:dyDescent="0.3">
      <c r="B49">
        <v>1104420</v>
      </c>
      <c r="C49" s="8">
        <v>43484</v>
      </c>
      <c r="D49" t="s">
        <v>9</v>
      </c>
      <c r="E49" s="7">
        <v>4</v>
      </c>
      <c r="F49" s="7">
        <v>19.989999999999998</v>
      </c>
      <c r="G49" s="7">
        <v>0</v>
      </c>
      <c r="H49" s="7">
        <v>79.959999999999994</v>
      </c>
    </row>
    <row r="50" spans="2:8" x14ac:dyDescent="0.3">
      <c r="B50">
        <v>1104433</v>
      </c>
      <c r="C50" s="8">
        <v>43486</v>
      </c>
      <c r="D50" t="s">
        <v>9</v>
      </c>
      <c r="E50" s="7">
        <v>1</v>
      </c>
      <c r="F50" s="7">
        <v>24.99</v>
      </c>
      <c r="G50" s="7">
        <v>0</v>
      </c>
      <c r="H50" s="7">
        <v>24.99</v>
      </c>
    </row>
    <row r="51" spans="2:8" x14ac:dyDescent="0.3">
      <c r="B51">
        <v>1104457</v>
      </c>
      <c r="C51" s="8">
        <v>43491</v>
      </c>
      <c r="D51" t="s">
        <v>9</v>
      </c>
      <c r="E51" s="7">
        <v>1</v>
      </c>
      <c r="F51" s="7">
        <v>49</v>
      </c>
      <c r="G51" s="7">
        <v>0</v>
      </c>
      <c r="H51" s="7">
        <v>49</v>
      </c>
    </row>
    <row r="52" spans="2:8" x14ac:dyDescent="0.3">
      <c r="B52">
        <v>1104578</v>
      </c>
      <c r="C52" s="8">
        <v>43512</v>
      </c>
      <c r="D52" t="s">
        <v>11</v>
      </c>
      <c r="E52" s="7">
        <v>8</v>
      </c>
      <c r="F52" s="7">
        <v>225</v>
      </c>
      <c r="G52" s="7">
        <v>45</v>
      </c>
      <c r="H52" s="7">
        <v>1755</v>
      </c>
    </row>
    <row r="53" spans="2:8" x14ac:dyDescent="0.3">
      <c r="B53">
        <v>1104768</v>
      </c>
      <c r="C53" s="8">
        <v>43537</v>
      </c>
      <c r="D53" t="s">
        <v>9</v>
      </c>
      <c r="E53" s="7">
        <v>1</v>
      </c>
      <c r="F53" s="7">
        <v>179</v>
      </c>
      <c r="G53" s="7">
        <v>0</v>
      </c>
      <c r="H53" s="7">
        <v>179</v>
      </c>
    </row>
    <row r="54" spans="2:8" x14ac:dyDescent="0.3">
      <c r="B54">
        <v>1104819</v>
      </c>
      <c r="C54" s="8">
        <v>43544</v>
      </c>
      <c r="D54" t="s">
        <v>11</v>
      </c>
      <c r="E54" s="7">
        <v>7</v>
      </c>
      <c r="F54" s="7">
        <v>17.5</v>
      </c>
      <c r="G54" s="7">
        <v>3.5</v>
      </c>
      <c r="H54" s="7">
        <v>119</v>
      </c>
    </row>
    <row r="55" spans="2:8" x14ac:dyDescent="0.3">
      <c r="B55">
        <v>1104837</v>
      </c>
      <c r="C55" s="8">
        <v>43547</v>
      </c>
      <c r="D55" t="s">
        <v>11</v>
      </c>
      <c r="E55" s="7">
        <v>13</v>
      </c>
      <c r="F55" s="7">
        <v>89</v>
      </c>
      <c r="G55" s="7">
        <v>17.8</v>
      </c>
      <c r="H55" s="7">
        <v>1139.2</v>
      </c>
    </row>
    <row r="56" spans="2:8" x14ac:dyDescent="0.3">
      <c r="B56">
        <v>1104910</v>
      </c>
      <c r="C56" s="8">
        <v>43557</v>
      </c>
      <c r="D56" t="s">
        <v>11</v>
      </c>
      <c r="E56" s="7">
        <v>93</v>
      </c>
      <c r="F56" s="7">
        <v>455</v>
      </c>
      <c r="G56" s="7">
        <v>91</v>
      </c>
      <c r="H56" s="7">
        <v>42224</v>
      </c>
    </row>
    <row r="57" spans="2:8" x14ac:dyDescent="0.3">
      <c r="B57">
        <v>1104934</v>
      </c>
      <c r="C57" s="8">
        <v>43560</v>
      </c>
      <c r="D57" t="s">
        <v>9</v>
      </c>
      <c r="E57" s="7">
        <v>1</v>
      </c>
      <c r="F57" s="7">
        <v>395</v>
      </c>
      <c r="G57" s="7">
        <v>0</v>
      </c>
      <c r="H57" s="7">
        <v>395</v>
      </c>
    </row>
    <row r="58" spans="2:8" x14ac:dyDescent="0.3">
      <c r="B58">
        <v>1105086</v>
      </c>
      <c r="C58" s="8">
        <v>43582</v>
      </c>
      <c r="D58" t="s">
        <v>11</v>
      </c>
      <c r="E58" s="7">
        <v>9</v>
      </c>
      <c r="F58" s="7">
        <v>4.99</v>
      </c>
      <c r="G58" s="7">
        <v>0.99800000000000011</v>
      </c>
      <c r="H58" s="7">
        <v>43.912000000000006</v>
      </c>
    </row>
    <row r="59" spans="2:8" x14ac:dyDescent="0.3">
      <c r="B59">
        <v>1105153</v>
      </c>
      <c r="C59" s="8">
        <v>43593</v>
      </c>
      <c r="D59" t="s">
        <v>11</v>
      </c>
      <c r="E59" s="7">
        <v>40</v>
      </c>
      <c r="F59" s="7">
        <v>883</v>
      </c>
      <c r="G59" s="7">
        <v>176.60000000000002</v>
      </c>
      <c r="H59" s="7">
        <v>35143.4</v>
      </c>
    </row>
    <row r="60" spans="2:8" x14ac:dyDescent="0.3">
      <c r="B60">
        <v>1105307</v>
      </c>
      <c r="C60" s="8">
        <v>43616</v>
      </c>
      <c r="D60" t="s">
        <v>11</v>
      </c>
      <c r="E60" s="7">
        <v>5</v>
      </c>
      <c r="F60" s="7">
        <v>12.99</v>
      </c>
      <c r="G60" s="7">
        <v>2.5980000000000003</v>
      </c>
      <c r="H60" s="7">
        <v>62.352000000000004</v>
      </c>
    </row>
    <row r="61" spans="2:8" x14ac:dyDescent="0.3">
      <c r="B61">
        <v>1105330</v>
      </c>
      <c r="C61" s="8">
        <v>43619</v>
      </c>
      <c r="D61" t="s">
        <v>9</v>
      </c>
      <c r="E61" s="7">
        <v>1</v>
      </c>
      <c r="F61" s="7">
        <v>24.99</v>
      </c>
      <c r="G61" s="7">
        <v>0</v>
      </c>
      <c r="H61" s="7">
        <v>24.99</v>
      </c>
    </row>
    <row r="62" spans="2:8" x14ac:dyDescent="0.3">
      <c r="B62">
        <v>1105362</v>
      </c>
      <c r="C62" s="8">
        <v>43624</v>
      </c>
      <c r="D62" t="s">
        <v>9</v>
      </c>
      <c r="E62" s="7">
        <v>1</v>
      </c>
      <c r="F62" s="7">
        <v>24.95</v>
      </c>
      <c r="G62" s="7">
        <v>0</v>
      </c>
      <c r="H62" s="7">
        <v>24.95</v>
      </c>
    </row>
    <row r="63" spans="2:8" x14ac:dyDescent="0.3">
      <c r="B63">
        <v>1105372</v>
      </c>
      <c r="C63" s="8">
        <v>43625</v>
      </c>
      <c r="D63" t="s">
        <v>9</v>
      </c>
      <c r="E63" s="7">
        <v>1</v>
      </c>
      <c r="F63" s="7">
        <v>12</v>
      </c>
      <c r="G63" s="7">
        <v>0</v>
      </c>
      <c r="H63" s="7">
        <v>12</v>
      </c>
    </row>
    <row r="64" spans="2:8" x14ac:dyDescent="0.3">
      <c r="B64">
        <v>1105403</v>
      </c>
      <c r="C64" s="8">
        <v>43629</v>
      </c>
      <c r="D64" t="s">
        <v>11</v>
      </c>
      <c r="E64" s="7">
        <v>5</v>
      </c>
      <c r="F64" s="7">
        <v>8.99</v>
      </c>
      <c r="G64" s="7">
        <v>1.798</v>
      </c>
      <c r="H64" s="7">
        <v>43.152000000000001</v>
      </c>
    </row>
    <row r="65" spans="2:8" x14ac:dyDescent="0.3">
      <c r="B65">
        <v>1105409</v>
      </c>
      <c r="C65" s="8">
        <v>43630</v>
      </c>
      <c r="D65" t="s">
        <v>9</v>
      </c>
      <c r="E65" s="7">
        <v>1</v>
      </c>
      <c r="F65" s="7">
        <v>36.99</v>
      </c>
      <c r="G65" s="7">
        <v>0</v>
      </c>
      <c r="H65" s="7">
        <v>36.99</v>
      </c>
    </row>
    <row r="66" spans="2:8" x14ac:dyDescent="0.3">
      <c r="B66">
        <v>1105415</v>
      </c>
      <c r="C66" s="8">
        <v>43631</v>
      </c>
      <c r="D66" t="s">
        <v>11</v>
      </c>
      <c r="E66" s="7">
        <v>8</v>
      </c>
      <c r="F66" s="7">
        <v>9.99</v>
      </c>
      <c r="G66" s="7">
        <v>1.9980000000000002</v>
      </c>
      <c r="H66" s="7">
        <v>77.921999999999997</v>
      </c>
    </row>
    <row r="67" spans="2:8" x14ac:dyDescent="0.3">
      <c r="B67">
        <v>1105534</v>
      </c>
      <c r="C67" s="8">
        <v>43649</v>
      </c>
      <c r="D67" t="s">
        <v>11</v>
      </c>
      <c r="E67" s="7">
        <v>8</v>
      </c>
      <c r="F67" s="7">
        <v>37.99</v>
      </c>
      <c r="G67" s="7">
        <v>7.5980000000000008</v>
      </c>
      <c r="H67" s="7">
        <v>296.322</v>
      </c>
    </row>
    <row r="68" spans="2:8" x14ac:dyDescent="0.3">
      <c r="B68">
        <v>1105626</v>
      </c>
      <c r="C68" s="8">
        <v>43663</v>
      </c>
      <c r="D68" t="s">
        <v>11</v>
      </c>
      <c r="E68" s="7">
        <v>5</v>
      </c>
      <c r="F68" s="7">
        <v>42.99</v>
      </c>
      <c r="G68" s="7">
        <v>8.5980000000000008</v>
      </c>
      <c r="H68" s="7">
        <v>206.352</v>
      </c>
    </row>
    <row r="69" spans="2:8" x14ac:dyDescent="0.3">
      <c r="B69">
        <v>1105640</v>
      </c>
      <c r="C69" s="8">
        <v>43665</v>
      </c>
      <c r="D69" t="s">
        <v>11</v>
      </c>
      <c r="E69" s="7">
        <v>12</v>
      </c>
      <c r="F69" s="7">
        <v>89</v>
      </c>
      <c r="G69" s="7">
        <v>17.8</v>
      </c>
      <c r="H69" s="7">
        <v>1050.2</v>
      </c>
    </row>
    <row r="70" spans="2:8" x14ac:dyDescent="0.3">
      <c r="B70">
        <v>1105701</v>
      </c>
      <c r="C70" s="8">
        <v>43676</v>
      </c>
      <c r="D70" t="s">
        <v>11</v>
      </c>
      <c r="E70" s="7">
        <v>11</v>
      </c>
      <c r="F70" s="7">
        <v>20.95</v>
      </c>
      <c r="G70" s="7">
        <v>4.1900000000000004</v>
      </c>
      <c r="H70" s="7">
        <v>226.26</v>
      </c>
    </row>
    <row r="71" spans="2:8" x14ac:dyDescent="0.3">
      <c r="B71">
        <v>1105770</v>
      </c>
      <c r="C71" s="8">
        <v>43686</v>
      </c>
      <c r="D71" t="s">
        <v>11</v>
      </c>
      <c r="E71" s="7">
        <v>65</v>
      </c>
      <c r="F71" s="7">
        <v>250</v>
      </c>
      <c r="G71" s="7">
        <v>50</v>
      </c>
      <c r="H71" s="7">
        <v>16200</v>
      </c>
    </row>
    <row r="72" spans="2:8" x14ac:dyDescent="0.3">
      <c r="B72">
        <v>1105783</v>
      </c>
      <c r="C72" s="8">
        <v>43688</v>
      </c>
      <c r="D72" t="s">
        <v>11</v>
      </c>
      <c r="E72" s="7">
        <v>101</v>
      </c>
      <c r="F72" s="7">
        <v>10.99</v>
      </c>
      <c r="G72" s="7">
        <v>2.198</v>
      </c>
      <c r="H72" s="7">
        <v>1107.7919999999999</v>
      </c>
    </row>
    <row r="73" spans="2:8" x14ac:dyDescent="0.3">
      <c r="B73">
        <v>1105866</v>
      </c>
      <c r="C73" s="8">
        <v>43700</v>
      </c>
      <c r="D73" t="s">
        <v>9</v>
      </c>
      <c r="E73" s="7">
        <v>1</v>
      </c>
      <c r="F73" s="7">
        <v>4.99</v>
      </c>
      <c r="G73" s="7">
        <v>0</v>
      </c>
      <c r="H73" s="7">
        <v>4.99</v>
      </c>
    </row>
    <row r="74" spans="2:8" x14ac:dyDescent="0.3">
      <c r="B74">
        <v>1105890</v>
      </c>
      <c r="C74" s="8">
        <v>43704</v>
      </c>
      <c r="D74" t="s">
        <v>11</v>
      </c>
      <c r="E74" s="7">
        <v>10</v>
      </c>
      <c r="F74" s="7">
        <v>11.99</v>
      </c>
      <c r="G74" s="7">
        <v>2.3980000000000001</v>
      </c>
      <c r="H74" s="7">
        <v>117.50200000000001</v>
      </c>
    </row>
    <row r="75" spans="2:8" x14ac:dyDescent="0.3">
      <c r="B75">
        <v>1100988</v>
      </c>
      <c r="C75" s="8">
        <v>42987</v>
      </c>
      <c r="D75" t="s">
        <v>11</v>
      </c>
      <c r="E75" s="7">
        <v>11</v>
      </c>
      <c r="F75" s="7">
        <v>19.989999999999998</v>
      </c>
      <c r="G75" s="7">
        <v>3.9979999999999998</v>
      </c>
      <c r="H75" s="7">
        <v>215.892</v>
      </c>
    </row>
    <row r="76" spans="2:8" x14ac:dyDescent="0.3">
      <c r="B76">
        <v>1100994</v>
      </c>
      <c r="C76" s="8">
        <v>42988</v>
      </c>
      <c r="D76" t="s">
        <v>11</v>
      </c>
      <c r="E76" s="7">
        <v>8</v>
      </c>
      <c r="F76" s="7">
        <v>450</v>
      </c>
      <c r="G76" s="7">
        <v>90</v>
      </c>
      <c r="H76" s="7">
        <v>3510</v>
      </c>
    </row>
    <row r="77" spans="2:8" x14ac:dyDescent="0.3">
      <c r="B77">
        <v>1101070</v>
      </c>
      <c r="C77" s="8">
        <v>42998</v>
      </c>
      <c r="D77" t="s">
        <v>11</v>
      </c>
      <c r="E77" s="7">
        <v>8</v>
      </c>
      <c r="F77" s="7">
        <v>7.99</v>
      </c>
      <c r="G77" s="7">
        <v>1.5980000000000001</v>
      </c>
      <c r="H77" s="7">
        <v>62.322000000000003</v>
      </c>
    </row>
    <row r="78" spans="2:8" x14ac:dyDescent="0.3">
      <c r="B78">
        <v>1101101</v>
      </c>
      <c r="C78" s="8">
        <v>43003</v>
      </c>
      <c r="D78" t="s">
        <v>11</v>
      </c>
      <c r="E78" s="7">
        <v>10</v>
      </c>
      <c r="F78" s="7">
        <v>42.99</v>
      </c>
      <c r="G78" s="7">
        <v>8.5980000000000008</v>
      </c>
      <c r="H78" s="7">
        <v>421.30200000000002</v>
      </c>
    </row>
    <row r="79" spans="2:8" x14ac:dyDescent="0.3">
      <c r="B79">
        <v>1101167</v>
      </c>
      <c r="C79" s="8">
        <v>43013</v>
      </c>
      <c r="D79" t="s">
        <v>9</v>
      </c>
      <c r="E79" s="7">
        <v>1</v>
      </c>
      <c r="F79" s="7">
        <v>24.95</v>
      </c>
      <c r="G79" s="7">
        <v>0</v>
      </c>
      <c r="H79" s="7">
        <v>24.95</v>
      </c>
    </row>
    <row r="80" spans="2:8" x14ac:dyDescent="0.3">
      <c r="B80">
        <v>1101311</v>
      </c>
      <c r="C80" s="8">
        <v>43033</v>
      </c>
      <c r="D80" t="s">
        <v>11</v>
      </c>
      <c r="E80" s="7">
        <v>8</v>
      </c>
      <c r="F80" s="7">
        <v>699</v>
      </c>
      <c r="G80" s="7">
        <v>139.80000000000001</v>
      </c>
      <c r="H80" s="7">
        <v>5452.2</v>
      </c>
    </row>
    <row r="81" spans="2:8" x14ac:dyDescent="0.3">
      <c r="B81">
        <v>1101388</v>
      </c>
      <c r="C81" s="8">
        <v>43043</v>
      </c>
      <c r="D81" t="s">
        <v>9</v>
      </c>
      <c r="E81" s="7">
        <v>1</v>
      </c>
      <c r="F81" s="7">
        <v>23.99</v>
      </c>
      <c r="G81" s="7">
        <v>0</v>
      </c>
      <c r="H81" s="7">
        <v>23.99</v>
      </c>
    </row>
    <row r="82" spans="2:8" x14ac:dyDescent="0.3">
      <c r="B82">
        <v>1101575</v>
      </c>
      <c r="C82" s="8">
        <v>43072</v>
      </c>
      <c r="D82" t="s">
        <v>11</v>
      </c>
      <c r="E82" s="7">
        <v>6</v>
      </c>
      <c r="F82" s="7">
        <v>10.99</v>
      </c>
      <c r="G82" s="7">
        <v>2.198</v>
      </c>
      <c r="H82" s="7">
        <v>63.741999999999997</v>
      </c>
    </row>
    <row r="83" spans="2:8" x14ac:dyDescent="0.3">
      <c r="B83">
        <v>1101622</v>
      </c>
      <c r="C83" s="8">
        <v>43077</v>
      </c>
      <c r="D83" t="s">
        <v>11</v>
      </c>
      <c r="E83" s="7">
        <v>60</v>
      </c>
      <c r="F83" s="7">
        <v>214</v>
      </c>
      <c r="G83" s="7">
        <v>42.800000000000004</v>
      </c>
      <c r="H83" s="7">
        <v>12797.2</v>
      </c>
    </row>
    <row r="84" spans="2:8" x14ac:dyDescent="0.3">
      <c r="B84">
        <v>1101697</v>
      </c>
      <c r="C84" s="8">
        <v>43090</v>
      </c>
      <c r="D84" t="s">
        <v>9</v>
      </c>
      <c r="E84" s="7">
        <v>1</v>
      </c>
      <c r="F84" s="7">
        <v>24.99</v>
      </c>
      <c r="G84" s="7">
        <v>0</v>
      </c>
      <c r="H84" s="7">
        <v>24.99</v>
      </c>
    </row>
    <row r="85" spans="2:8" x14ac:dyDescent="0.3">
      <c r="B85">
        <v>1101798</v>
      </c>
      <c r="C85" s="8">
        <v>43104</v>
      </c>
      <c r="D85" t="s">
        <v>11</v>
      </c>
      <c r="E85" s="7">
        <v>11</v>
      </c>
      <c r="F85" s="7">
        <v>19.5</v>
      </c>
      <c r="G85" s="7">
        <v>3.9000000000000004</v>
      </c>
      <c r="H85" s="7">
        <v>210.6</v>
      </c>
    </row>
    <row r="86" spans="2:8" x14ac:dyDescent="0.3">
      <c r="B86">
        <v>1101932</v>
      </c>
      <c r="C86" s="8">
        <v>43123</v>
      </c>
      <c r="D86" t="s">
        <v>11</v>
      </c>
      <c r="E86" s="7">
        <v>10</v>
      </c>
      <c r="F86" s="7">
        <v>190</v>
      </c>
      <c r="G86" s="7">
        <v>38</v>
      </c>
      <c r="H86" s="7">
        <v>1862</v>
      </c>
    </row>
    <row r="87" spans="2:8" x14ac:dyDescent="0.3">
      <c r="B87">
        <v>1102041</v>
      </c>
      <c r="C87" s="8">
        <v>43141</v>
      </c>
      <c r="D87" t="s">
        <v>11</v>
      </c>
      <c r="E87" s="7">
        <v>8</v>
      </c>
      <c r="F87" s="7">
        <v>179</v>
      </c>
      <c r="G87" s="7">
        <v>35.800000000000004</v>
      </c>
      <c r="H87" s="7">
        <v>1396.2</v>
      </c>
    </row>
    <row r="88" spans="2:8" x14ac:dyDescent="0.3">
      <c r="B88">
        <v>1102152</v>
      </c>
      <c r="C88" s="8">
        <v>43159</v>
      </c>
      <c r="D88" t="s">
        <v>9</v>
      </c>
      <c r="E88" s="7">
        <v>2</v>
      </c>
      <c r="F88" s="7">
        <v>225</v>
      </c>
      <c r="G88" s="7">
        <v>0</v>
      </c>
      <c r="H88" s="7">
        <v>450</v>
      </c>
    </row>
    <row r="89" spans="2:8" x14ac:dyDescent="0.3">
      <c r="B89">
        <v>1102188</v>
      </c>
      <c r="C89" s="8">
        <v>43164</v>
      </c>
      <c r="D89" t="s">
        <v>11</v>
      </c>
      <c r="E89" s="7">
        <v>10</v>
      </c>
      <c r="F89" s="7">
        <v>29.99</v>
      </c>
      <c r="G89" s="7">
        <v>5.9980000000000002</v>
      </c>
      <c r="H89" s="7">
        <v>293.90199999999999</v>
      </c>
    </row>
    <row r="90" spans="2:8" x14ac:dyDescent="0.3">
      <c r="B90">
        <v>1102216</v>
      </c>
      <c r="C90" s="8">
        <v>43168</v>
      </c>
      <c r="D90" t="s">
        <v>9</v>
      </c>
      <c r="E90" s="7">
        <v>2</v>
      </c>
      <c r="F90" s="7">
        <v>189</v>
      </c>
      <c r="G90" s="7">
        <v>0</v>
      </c>
      <c r="H90" s="7">
        <v>378</v>
      </c>
    </row>
    <row r="91" spans="2:8" x14ac:dyDescent="0.3">
      <c r="B91">
        <v>1102238</v>
      </c>
      <c r="C91" s="8">
        <v>43170</v>
      </c>
      <c r="D91" t="s">
        <v>9</v>
      </c>
      <c r="E91" s="7">
        <v>1</v>
      </c>
      <c r="F91" s="7">
        <v>7.99</v>
      </c>
      <c r="G91" s="7">
        <v>0</v>
      </c>
      <c r="H91" s="7">
        <v>7.99</v>
      </c>
    </row>
    <row r="92" spans="2:8" x14ac:dyDescent="0.3">
      <c r="B92">
        <v>1102313</v>
      </c>
      <c r="C92" s="8">
        <v>43181</v>
      </c>
      <c r="D92" t="s">
        <v>11</v>
      </c>
      <c r="E92" s="7">
        <v>8</v>
      </c>
      <c r="F92" s="7">
        <v>69</v>
      </c>
      <c r="G92" s="7">
        <v>13.8</v>
      </c>
      <c r="H92" s="7">
        <v>538.20000000000005</v>
      </c>
    </row>
    <row r="93" spans="2:8" x14ac:dyDescent="0.3">
      <c r="B93">
        <v>1102437</v>
      </c>
      <c r="C93" s="8">
        <v>43201</v>
      </c>
      <c r="D93" t="s">
        <v>9</v>
      </c>
      <c r="E93" s="7">
        <v>1</v>
      </c>
      <c r="F93" s="7">
        <v>899</v>
      </c>
      <c r="G93" s="7">
        <v>0</v>
      </c>
      <c r="H93" s="7">
        <v>899</v>
      </c>
    </row>
    <row r="94" spans="2:8" x14ac:dyDescent="0.3">
      <c r="B94">
        <v>1102460</v>
      </c>
      <c r="C94" s="8">
        <v>43204</v>
      </c>
      <c r="D94" t="s">
        <v>11</v>
      </c>
      <c r="E94" s="7">
        <v>9</v>
      </c>
      <c r="F94" s="7">
        <v>44.95</v>
      </c>
      <c r="G94" s="7">
        <v>8.99</v>
      </c>
      <c r="H94" s="7">
        <v>395.56</v>
      </c>
    </row>
    <row r="95" spans="2:8" x14ac:dyDescent="0.3">
      <c r="B95">
        <v>1102589</v>
      </c>
      <c r="C95" s="8">
        <v>43224</v>
      </c>
      <c r="D95" t="s">
        <v>11</v>
      </c>
      <c r="E95" s="7">
        <v>7</v>
      </c>
      <c r="F95" s="7">
        <v>37.99</v>
      </c>
      <c r="G95" s="7">
        <v>7.5980000000000008</v>
      </c>
      <c r="H95" s="7">
        <v>258.33199999999999</v>
      </c>
    </row>
    <row r="96" spans="2:8" x14ac:dyDescent="0.3">
      <c r="B96">
        <v>1102666</v>
      </c>
      <c r="C96" s="8">
        <v>43234</v>
      </c>
      <c r="D96" t="s">
        <v>11</v>
      </c>
      <c r="E96" s="7">
        <v>6</v>
      </c>
      <c r="F96" s="7">
        <v>4.99</v>
      </c>
      <c r="G96" s="7">
        <v>0.99800000000000011</v>
      </c>
      <c r="H96" s="7">
        <v>28.942</v>
      </c>
    </row>
    <row r="97" spans="2:8" x14ac:dyDescent="0.3">
      <c r="B97">
        <v>1102698</v>
      </c>
      <c r="C97" s="8">
        <v>43238</v>
      </c>
      <c r="D97" t="s">
        <v>11</v>
      </c>
      <c r="E97" s="7">
        <v>53</v>
      </c>
      <c r="F97" s="7">
        <v>8.99</v>
      </c>
      <c r="G97" s="7">
        <v>1.798</v>
      </c>
      <c r="H97" s="7">
        <v>474.67200000000003</v>
      </c>
    </row>
    <row r="98" spans="2:8" x14ac:dyDescent="0.3">
      <c r="B98">
        <v>1102692</v>
      </c>
      <c r="C98" s="8">
        <v>43238</v>
      </c>
      <c r="D98" t="s">
        <v>9</v>
      </c>
      <c r="E98" s="7">
        <v>2</v>
      </c>
      <c r="F98" s="7">
        <v>167</v>
      </c>
      <c r="G98" s="7">
        <v>0</v>
      </c>
      <c r="H98" s="7">
        <v>334</v>
      </c>
    </row>
    <row r="99" spans="2:8" x14ac:dyDescent="0.3">
      <c r="B99">
        <v>1102713</v>
      </c>
      <c r="C99" s="8">
        <v>43241</v>
      </c>
      <c r="D99" t="s">
        <v>9</v>
      </c>
      <c r="E99" s="7">
        <v>2</v>
      </c>
      <c r="F99" s="7">
        <v>899</v>
      </c>
      <c r="G99" s="7">
        <v>0</v>
      </c>
      <c r="H99" s="7">
        <v>1798</v>
      </c>
    </row>
    <row r="100" spans="2:8" x14ac:dyDescent="0.3">
      <c r="B100">
        <v>1102847</v>
      </c>
      <c r="C100" s="8">
        <v>43262</v>
      </c>
      <c r="D100" t="s">
        <v>9</v>
      </c>
      <c r="E100" s="7">
        <v>1</v>
      </c>
      <c r="F100" s="7">
        <v>12</v>
      </c>
      <c r="G100" s="7">
        <v>0</v>
      </c>
      <c r="H100" s="7">
        <v>12</v>
      </c>
    </row>
    <row r="101" spans="2:8" x14ac:dyDescent="0.3">
      <c r="B101">
        <v>1102894</v>
      </c>
      <c r="C101" s="8">
        <v>43268</v>
      </c>
      <c r="D101" t="s">
        <v>9</v>
      </c>
      <c r="E101" s="7">
        <v>1</v>
      </c>
      <c r="F101" s="7">
        <v>23.99</v>
      </c>
      <c r="G101" s="7">
        <v>0</v>
      </c>
      <c r="H101" s="7">
        <v>23.99</v>
      </c>
    </row>
    <row r="102" spans="2:8" x14ac:dyDescent="0.3">
      <c r="B102">
        <v>1102902</v>
      </c>
      <c r="C102" s="8">
        <v>43268</v>
      </c>
      <c r="D102" t="s">
        <v>11</v>
      </c>
      <c r="E102" s="7">
        <v>11</v>
      </c>
      <c r="F102" s="7">
        <v>13.99</v>
      </c>
      <c r="G102" s="7">
        <v>2.798</v>
      </c>
      <c r="H102" s="7">
        <v>151.09200000000001</v>
      </c>
    </row>
    <row r="103" spans="2:8" x14ac:dyDescent="0.3">
      <c r="B103">
        <v>1103033</v>
      </c>
      <c r="C103" s="8">
        <v>43285</v>
      </c>
      <c r="D103" t="s">
        <v>11</v>
      </c>
      <c r="E103" s="7">
        <v>5</v>
      </c>
      <c r="F103" s="7">
        <v>37.99</v>
      </c>
      <c r="G103" s="7">
        <v>7.5980000000000008</v>
      </c>
      <c r="H103" s="7">
        <v>182.352</v>
      </c>
    </row>
    <row r="104" spans="2:8" x14ac:dyDescent="0.3">
      <c r="B104">
        <v>1103106</v>
      </c>
      <c r="C104" s="8">
        <v>43294</v>
      </c>
      <c r="D104" t="s">
        <v>11</v>
      </c>
      <c r="E104" s="7">
        <v>8</v>
      </c>
      <c r="F104" s="7">
        <v>13.99</v>
      </c>
      <c r="G104" s="7">
        <v>2.798</v>
      </c>
      <c r="H104" s="7">
        <v>109.122</v>
      </c>
    </row>
    <row r="105" spans="2:8" x14ac:dyDescent="0.3">
      <c r="B105">
        <v>1103128</v>
      </c>
      <c r="C105" s="8">
        <v>43297</v>
      </c>
      <c r="D105" t="s">
        <v>9</v>
      </c>
      <c r="E105" s="7">
        <v>1</v>
      </c>
      <c r="F105" s="7">
        <v>11.99</v>
      </c>
      <c r="G105" s="7">
        <v>0</v>
      </c>
      <c r="H105" s="7">
        <v>11.99</v>
      </c>
    </row>
    <row r="106" spans="2:8" x14ac:dyDescent="0.3">
      <c r="B106">
        <v>1103158</v>
      </c>
      <c r="C106" s="8">
        <v>43300</v>
      </c>
      <c r="D106" t="s">
        <v>11</v>
      </c>
      <c r="E106" s="7">
        <v>9</v>
      </c>
      <c r="F106" s="7">
        <v>15.5</v>
      </c>
      <c r="G106" s="7">
        <v>3.1</v>
      </c>
      <c r="H106" s="7">
        <v>136.4</v>
      </c>
    </row>
    <row r="107" spans="2:8" x14ac:dyDescent="0.3">
      <c r="B107">
        <v>1103237</v>
      </c>
      <c r="C107" s="8">
        <v>43310</v>
      </c>
      <c r="D107" t="s">
        <v>9</v>
      </c>
      <c r="E107" s="7">
        <v>4</v>
      </c>
      <c r="F107" s="7">
        <v>58.95</v>
      </c>
      <c r="G107" s="7">
        <v>0</v>
      </c>
      <c r="H107" s="7">
        <v>235.8</v>
      </c>
    </row>
    <row r="108" spans="2:8" x14ac:dyDescent="0.3">
      <c r="B108">
        <v>1103427</v>
      </c>
      <c r="C108" s="8">
        <v>43336</v>
      </c>
      <c r="D108" t="s">
        <v>9</v>
      </c>
      <c r="E108" s="7">
        <v>1</v>
      </c>
      <c r="F108" s="7">
        <v>4.99</v>
      </c>
      <c r="G108" s="7">
        <v>0</v>
      </c>
      <c r="H108" s="7">
        <v>4.99</v>
      </c>
    </row>
    <row r="109" spans="2:8" x14ac:dyDescent="0.3">
      <c r="B109">
        <v>1103506</v>
      </c>
      <c r="C109" s="8">
        <v>43347</v>
      </c>
      <c r="D109" t="s">
        <v>11</v>
      </c>
      <c r="E109" s="7">
        <v>58</v>
      </c>
      <c r="F109" s="7">
        <v>23.99</v>
      </c>
      <c r="G109" s="7">
        <v>4.798</v>
      </c>
      <c r="H109" s="7">
        <v>1386.6219999999998</v>
      </c>
    </row>
    <row r="110" spans="2:8" x14ac:dyDescent="0.3">
      <c r="B110">
        <v>1103577</v>
      </c>
      <c r="C110" s="8">
        <v>43357</v>
      </c>
      <c r="D110" t="s">
        <v>11</v>
      </c>
      <c r="E110" s="7">
        <v>36</v>
      </c>
      <c r="F110" s="7">
        <v>16.989999999999998</v>
      </c>
      <c r="G110" s="7">
        <v>3.3979999999999997</v>
      </c>
      <c r="H110" s="7">
        <v>608.24199999999996</v>
      </c>
    </row>
    <row r="111" spans="2:8" x14ac:dyDescent="0.3">
      <c r="B111">
        <v>1103610</v>
      </c>
      <c r="C111" s="8">
        <v>43363</v>
      </c>
      <c r="D111" t="s">
        <v>11</v>
      </c>
      <c r="E111" s="7">
        <v>8</v>
      </c>
      <c r="F111" s="7">
        <v>69</v>
      </c>
      <c r="G111" s="7">
        <v>13.8</v>
      </c>
      <c r="H111" s="7">
        <v>538.20000000000005</v>
      </c>
    </row>
    <row r="112" spans="2:8" x14ac:dyDescent="0.3">
      <c r="B112">
        <v>1103717</v>
      </c>
      <c r="C112" s="8">
        <v>43378</v>
      </c>
      <c r="D112" t="s">
        <v>9</v>
      </c>
      <c r="E112" s="7">
        <v>2</v>
      </c>
      <c r="F112" s="7">
        <v>189</v>
      </c>
      <c r="G112" s="7">
        <v>0</v>
      </c>
      <c r="H112" s="7">
        <v>378</v>
      </c>
    </row>
    <row r="113" spans="2:8" x14ac:dyDescent="0.3">
      <c r="B113">
        <v>1103744</v>
      </c>
      <c r="C113" s="8">
        <v>43384</v>
      </c>
      <c r="D113" t="s">
        <v>9</v>
      </c>
      <c r="E113" s="7">
        <v>1</v>
      </c>
      <c r="F113" s="7">
        <v>189</v>
      </c>
      <c r="G113" s="7">
        <v>0</v>
      </c>
      <c r="H113" s="7">
        <v>189</v>
      </c>
    </row>
    <row r="114" spans="2:8" x14ac:dyDescent="0.3">
      <c r="B114">
        <v>1103774</v>
      </c>
      <c r="C114" s="8">
        <v>43388</v>
      </c>
      <c r="D114" t="s">
        <v>11</v>
      </c>
      <c r="E114" s="7">
        <v>7</v>
      </c>
      <c r="F114" s="7">
        <v>225</v>
      </c>
      <c r="G114" s="7">
        <v>45</v>
      </c>
      <c r="H114" s="7">
        <v>1530</v>
      </c>
    </row>
    <row r="115" spans="2:8" x14ac:dyDescent="0.3">
      <c r="B115">
        <v>1103798</v>
      </c>
      <c r="C115" s="8">
        <v>43391</v>
      </c>
      <c r="D115" t="s">
        <v>9</v>
      </c>
      <c r="E115" s="7">
        <v>1</v>
      </c>
      <c r="F115" s="7">
        <v>23.99</v>
      </c>
      <c r="G115" s="7">
        <v>0</v>
      </c>
      <c r="H115" s="7">
        <v>23.99</v>
      </c>
    </row>
    <row r="116" spans="2:8" x14ac:dyDescent="0.3">
      <c r="B116">
        <v>1103930</v>
      </c>
      <c r="C116" s="8">
        <v>43413</v>
      </c>
      <c r="D116" t="s">
        <v>9</v>
      </c>
      <c r="E116" s="7">
        <v>1</v>
      </c>
      <c r="F116" s="7">
        <v>44.95</v>
      </c>
      <c r="G116" s="7">
        <v>0</v>
      </c>
      <c r="H116" s="7">
        <v>44.95</v>
      </c>
    </row>
    <row r="117" spans="2:8" x14ac:dyDescent="0.3">
      <c r="B117">
        <v>1104092</v>
      </c>
      <c r="C117" s="8">
        <v>43438</v>
      </c>
      <c r="D117" t="s">
        <v>9</v>
      </c>
      <c r="E117" s="7">
        <v>1</v>
      </c>
      <c r="F117" s="7">
        <v>34.99</v>
      </c>
      <c r="G117" s="7">
        <v>0</v>
      </c>
      <c r="H117" s="7">
        <v>34.99</v>
      </c>
    </row>
    <row r="118" spans="2:8" x14ac:dyDescent="0.3">
      <c r="B118">
        <v>1104101</v>
      </c>
      <c r="C118" s="8">
        <v>43439</v>
      </c>
      <c r="D118" t="s">
        <v>9</v>
      </c>
      <c r="E118" s="7">
        <v>1</v>
      </c>
      <c r="F118" s="7">
        <v>190</v>
      </c>
      <c r="G118" s="7">
        <v>0</v>
      </c>
      <c r="H118" s="7">
        <v>190</v>
      </c>
    </row>
    <row r="119" spans="2:8" x14ac:dyDescent="0.3">
      <c r="B119">
        <v>1104219</v>
      </c>
      <c r="C119" s="8">
        <v>43455</v>
      </c>
      <c r="D119" t="s">
        <v>11</v>
      </c>
      <c r="E119" s="7">
        <v>12</v>
      </c>
      <c r="F119" s="7">
        <v>24.95</v>
      </c>
      <c r="G119" s="7">
        <v>4.99</v>
      </c>
      <c r="H119" s="7">
        <v>294.40999999999997</v>
      </c>
    </row>
    <row r="120" spans="2:8" x14ac:dyDescent="0.3">
      <c r="B120">
        <v>1104390</v>
      </c>
      <c r="C120" s="8">
        <v>43478</v>
      </c>
      <c r="D120" t="s">
        <v>11</v>
      </c>
      <c r="E120" s="7">
        <v>7</v>
      </c>
      <c r="F120" s="7">
        <v>16.989999999999998</v>
      </c>
      <c r="G120" s="7">
        <v>3.3979999999999997</v>
      </c>
      <c r="H120" s="7">
        <v>115.532</v>
      </c>
    </row>
    <row r="121" spans="2:8" x14ac:dyDescent="0.3">
      <c r="B121">
        <v>1104495</v>
      </c>
      <c r="C121" s="8">
        <v>43498</v>
      </c>
      <c r="D121" t="s">
        <v>9</v>
      </c>
      <c r="E121" s="7">
        <v>1</v>
      </c>
      <c r="F121" s="7">
        <v>455</v>
      </c>
      <c r="G121" s="7">
        <v>0</v>
      </c>
      <c r="H121" s="7">
        <v>455</v>
      </c>
    </row>
    <row r="122" spans="2:8" x14ac:dyDescent="0.3">
      <c r="B122">
        <v>1104553</v>
      </c>
      <c r="C122" s="8">
        <v>43508</v>
      </c>
      <c r="D122" t="s">
        <v>9</v>
      </c>
      <c r="E122" s="7">
        <v>1</v>
      </c>
      <c r="F122" s="7">
        <v>49</v>
      </c>
      <c r="G122" s="7">
        <v>0</v>
      </c>
      <c r="H122" s="7">
        <v>49</v>
      </c>
    </row>
    <row r="123" spans="2:8" x14ac:dyDescent="0.3">
      <c r="B123">
        <v>1104570</v>
      </c>
      <c r="C123" s="8">
        <v>43510</v>
      </c>
      <c r="D123" t="s">
        <v>9</v>
      </c>
      <c r="E123" s="7">
        <v>60</v>
      </c>
      <c r="F123" s="7">
        <v>450</v>
      </c>
      <c r="G123" s="7">
        <v>0</v>
      </c>
      <c r="H123" s="7">
        <v>27000</v>
      </c>
    </row>
    <row r="124" spans="2:8" x14ac:dyDescent="0.3">
      <c r="B124">
        <v>1104719</v>
      </c>
      <c r="C124" s="8">
        <v>43530</v>
      </c>
      <c r="D124" t="s">
        <v>9</v>
      </c>
      <c r="E124" s="7">
        <v>1</v>
      </c>
      <c r="F124" s="7">
        <v>49</v>
      </c>
      <c r="G124" s="7">
        <v>0</v>
      </c>
      <c r="H124" s="7">
        <v>49</v>
      </c>
    </row>
    <row r="125" spans="2:8" x14ac:dyDescent="0.3">
      <c r="B125">
        <v>1104726</v>
      </c>
      <c r="C125" s="8">
        <v>43530</v>
      </c>
      <c r="D125" t="s">
        <v>9</v>
      </c>
      <c r="E125" s="7">
        <v>1</v>
      </c>
      <c r="F125" s="7">
        <v>29.99</v>
      </c>
      <c r="G125" s="7">
        <v>0</v>
      </c>
      <c r="H125" s="7">
        <v>29.99</v>
      </c>
    </row>
    <row r="126" spans="2:8" x14ac:dyDescent="0.3">
      <c r="B126">
        <v>1104875</v>
      </c>
      <c r="C126" s="8">
        <v>43552</v>
      </c>
      <c r="D126" t="s">
        <v>11</v>
      </c>
      <c r="E126" s="7">
        <v>4</v>
      </c>
      <c r="F126" s="7">
        <v>684</v>
      </c>
      <c r="G126" s="7">
        <v>136.80000000000001</v>
      </c>
      <c r="H126" s="7">
        <v>2599.1999999999998</v>
      </c>
    </row>
    <row r="127" spans="2:8" x14ac:dyDescent="0.3">
      <c r="B127">
        <v>1105041</v>
      </c>
      <c r="C127" s="8">
        <v>43575</v>
      </c>
      <c r="D127" t="s">
        <v>9</v>
      </c>
      <c r="E127" s="7">
        <v>1</v>
      </c>
      <c r="F127" s="7">
        <v>23.99</v>
      </c>
      <c r="G127" s="7">
        <v>0</v>
      </c>
      <c r="H127" s="7">
        <v>23.99</v>
      </c>
    </row>
    <row r="128" spans="2:8" x14ac:dyDescent="0.3">
      <c r="B128">
        <v>1105218</v>
      </c>
      <c r="C128" s="8">
        <v>43604</v>
      </c>
      <c r="D128" t="s">
        <v>9</v>
      </c>
      <c r="E128" s="7">
        <v>1</v>
      </c>
      <c r="F128" s="7">
        <v>28.99</v>
      </c>
      <c r="G128" s="7">
        <v>0</v>
      </c>
      <c r="H128" s="7">
        <v>28.99</v>
      </c>
    </row>
    <row r="129" spans="2:8" x14ac:dyDescent="0.3">
      <c r="B129">
        <v>1105267</v>
      </c>
      <c r="C129" s="8">
        <v>43611</v>
      </c>
      <c r="D129" t="s">
        <v>11</v>
      </c>
      <c r="E129" s="7">
        <v>7</v>
      </c>
      <c r="F129" s="7">
        <v>179</v>
      </c>
      <c r="G129" s="7">
        <v>35.800000000000004</v>
      </c>
      <c r="H129" s="7">
        <v>1217.2</v>
      </c>
    </row>
    <row r="130" spans="2:8" x14ac:dyDescent="0.3">
      <c r="B130">
        <v>1105276</v>
      </c>
      <c r="C130" s="8">
        <v>43612</v>
      </c>
      <c r="D130" t="s">
        <v>11</v>
      </c>
      <c r="E130" s="7">
        <v>5</v>
      </c>
      <c r="F130" s="7">
        <v>699</v>
      </c>
      <c r="G130" s="7">
        <v>139.80000000000001</v>
      </c>
      <c r="H130" s="7">
        <v>3355.2</v>
      </c>
    </row>
    <row r="131" spans="2:8" x14ac:dyDescent="0.3">
      <c r="B131">
        <v>1105297</v>
      </c>
      <c r="C131" s="8">
        <v>43615</v>
      </c>
      <c r="D131" t="s">
        <v>11</v>
      </c>
      <c r="E131" s="7">
        <v>11</v>
      </c>
      <c r="F131" s="7">
        <v>699</v>
      </c>
      <c r="G131" s="7">
        <v>139.80000000000001</v>
      </c>
      <c r="H131" s="7">
        <v>7549.2</v>
      </c>
    </row>
    <row r="132" spans="2:8" x14ac:dyDescent="0.3">
      <c r="B132">
        <v>1105456</v>
      </c>
      <c r="C132" s="8">
        <v>43637</v>
      </c>
      <c r="D132" t="s">
        <v>9</v>
      </c>
      <c r="E132" s="7">
        <v>1</v>
      </c>
      <c r="F132" s="7">
        <v>214</v>
      </c>
      <c r="G132" s="7">
        <v>0</v>
      </c>
      <c r="H132" s="7">
        <v>214</v>
      </c>
    </row>
    <row r="133" spans="2:8" x14ac:dyDescent="0.3">
      <c r="B133">
        <v>1105644</v>
      </c>
      <c r="C133" s="8">
        <v>43665</v>
      </c>
      <c r="D133" t="s">
        <v>11</v>
      </c>
      <c r="E133" s="7">
        <v>92</v>
      </c>
      <c r="F133" s="7">
        <v>49.95</v>
      </c>
      <c r="G133" s="7">
        <v>9.990000000000002</v>
      </c>
      <c r="H133" s="7">
        <v>4585.4100000000008</v>
      </c>
    </row>
    <row r="134" spans="2:8" x14ac:dyDescent="0.3">
      <c r="B134">
        <v>1105693</v>
      </c>
      <c r="C134" s="8">
        <v>43675</v>
      </c>
      <c r="D134" t="s">
        <v>11</v>
      </c>
      <c r="E134" s="7">
        <v>10</v>
      </c>
      <c r="F134" s="7">
        <v>119</v>
      </c>
      <c r="G134" s="7">
        <v>23.8</v>
      </c>
      <c r="H134" s="7">
        <v>1166.2</v>
      </c>
    </row>
    <row r="135" spans="2:8" x14ac:dyDescent="0.3">
      <c r="B135">
        <v>1105777</v>
      </c>
      <c r="C135" s="8">
        <v>43688</v>
      </c>
      <c r="D135" t="s">
        <v>9</v>
      </c>
      <c r="E135" s="7">
        <v>1</v>
      </c>
      <c r="F135" s="7">
        <v>32.950000000000003</v>
      </c>
      <c r="G135" s="7">
        <v>0</v>
      </c>
      <c r="H135" s="7">
        <v>32.950000000000003</v>
      </c>
    </row>
    <row r="136" spans="2:8" x14ac:dyDescent="0.3">
      <c r="B136">
        <v>1105797</v>
      </c>
      <c r="C136" s="8">
        <v>43690</v>
      </c>
      <c r="D136" t="s">
        <v>9</v>
      </c>
      <c r="E136" s="7">
        <v>1</v>
      </c>
      <c r="F136" s="7">
        <v>11.99</v>
      </c>
      <c r="G136" s="7">
        <v>0</v>
      </c>
      <c r="H136" s="7">
        <v>11.99</v>
      </c>
    </row>
    <row r="137" spans="2:8" x14ac:dyDescent="0.3">
      <c r="B137">
        <v>1105837</v>
      </c>
      <c r="C137" s="8">
        <v>43696</v>
      </c>
      <c r="D137" t="s">
        <v>11</v>
      </c>
      <c r="E137" s="7">
        <v>8</v>
      </c>
      <c r="F137" s="7">
        <v>32.950000000000003</v>
      </c>
      <c r="G137" s="7">
        <v>6.5900000000000007</v>
      </c>
      <c r="H137" s="7">
        <v>257.01000000000005</v>
      </c>
    </row>
    <row r="138" spans="2:8" x14ac:dyDescent="0.3">
      <c r="B138">
        <v>1100946</v>
      </c>
      <c r="C138" s="8">
        <v>42981</v>
      </c>
      <c r="D138" t="s">
        <v>11</v>
      </c>
      <c r="E138" s="7">
        <v>7</v>
      </c>
      <c r="F138" s="7">
        <v>19.989999999999998</v>
      </c>
      <c r="G138" s="7">
        <v>3.9979999999999998</v>
      </c>
      <c r="H138" s="7">
        <v>135.93199999999999</v>
      </c>
    </row>
    <row r="139" spans="2:8" x14ac:dyDescent="0.3">
      <c r="B139">
        <v>1100975</v>
      </c>
      <c r="C139" s="8">
        <v>42985</v>
      </c>
      <c r="D139" t="s">
        <v>11</v>
      </c>
      <c r="E139" s="7">
        <v>3</v>
      </c>
      <c r="F139" s="7">
        <v>395</v>
      </c>
      <c r="G139" s="7">
        <v>79</v>
      </c>
      <c r="H139" s="7">
        <v>1106</v>
      </c>
    </row>
    <row r="140" spans="2:8" x14ac:dyDescent="0.3">
      <c r="B140">
        <v>1101062</v>
      </c>
      <c r="C140" s="8">
        <v>42997</v>
      </c>
      <c r="D140" t="s">
        <v>11</v>
      </c>
      <c r="E140" s="7">
        <v>7</v>
      </c>
      <c r="F140" s="7">
        <v>49</v>
      </c>
      <c r="G140" s="7">
        <v>9.8000000000000007</v>
      </c>
      <c r="H140" s="7">
        <v>333.2</v>
      </c>
    </row>
    <row r="141" spans="2:8" x14ac:dyDescent="0.3">
      <c r="B141">
        <v>1101325</v>
      </c>
      <c r="C141" s="8">
        <v>43035</v>
      </c>
      <c r="D141" t="s">
        <v>9</v>
      </c>
      <c r="E141" s="7">
        <v>1</v>
      </c>
      <c r="F141" s="7">
        <v>19.5</v>
      </c>
      <c r="G141" s="7">
        <v>0</v>
      </c>
      <c r="H141" s="7">
        <v>19.5</v>
      </c>
    </row>
    <row r="142" spans="2:8" x14ac:dyDescent="0.3">
      <c r="B142">
        <v>1101386</v>
      </c>
      <c r="C142" s="8">
        <v>43043</v>
      </c>
      <c r="D142" t="s">
        <v>11</v>
      </c>
      <c r="E142" s="7">
        <v>12</v>
      </c>
      <c r="F142" s="7">
        <v>44.95</v>
      </c>
      <c r="G142" s="7">
        <v>8.99</v>
      </c>
      <c r="H142" s="7">
        <v>530.41000000000008</v>
      </c>
    </row>
    <row r="143" spans="2:8" x14ac:dyDescent="0.3">
      <c r="B143">
        <v>1101395</v>
      </c>
      <c r="C143" s="8">
        <v>43044</v>
      </c>
      <c r="D143" t="s">
        <v>9</v>
      </c>
      <c r="E143" s="7">
        <v>1</v>
      </c>
      <c r="F143" s="7">
        <v>42.99</v>
      </c>
      <c r="G143" s="7">
        <v>0</v>
      </c>
      <c r="H143" s="7">
        <v>42.99</v>
      </c>
    </row>
    <row r="144" spans="2:8" x14ac:dyDescent="0.3">
      <c r="B144">
        <v>1101552</v>
      </c>
      <c r="C144" s="8">
        <v>43070</v>
      </c>
      <c r="D144" t="s">
        <v>9</v>
      </c>
      <c r="E144" s="7">
        <v>1</v>
      </c>
      <c r="F144" s="7">
        <v>49</v>
      </c>
      <c r="G144" s="7">
        <v>0</v>
      </c>
      <c r="H144" s="7">
        <v>49</v>
      </c>
    </row>
    <row r="145" spans="2:8" x14ac:dyDescent="0.3">
      <c r="B145">
        <v>1101638</v>
      </c>
      <c r="C145" s="8">
        <v>43080</v>
      </c>
      <c r="D145" t="s">
        <v>9</v>
      </c>
      <c r="E145" s="7">
        <v>1</v>
      </c>
      <c r="F145" s="7">
        <v>24.95</v>
      </c>
      <c r="G145" s="7">
        <v>0</v>
      </c>
      <c r="H145" s="7">
        <v>24.95</v>
      </c>
    </row>
    <row r="146" spans="2:8" x14ac:dyDescent="0.3">
      <c r="B146">
        <v>1101700</v>
      </c>
      <c r="C146" s="8">
        <v>43090</v>
      </c>
      <c r="D146" t="s">
        <v>11</v>
      </c>
      <c r="E146" s="7">
        <v>11</v>
      </c>
      <c r="F146" s="7">
        <v>29.99</v>
      </c>
      <c r="G146" s="7">
        <v>5.9980000000000002</v>
      </c>
      <c r="H146" s="7">
        <v>323.892</v>
      </c>
    </row>
    <row r="147" spans="2:8" x14ac:dyDescent="0.3">
      <c r="B147">
        <v>1101818</v>
      </c>
      <c r="C147" s="8">
        <v>43107</v>
      </c>
      <c r="D147" t="s">
        <v>9</v>
      </c>
      <c r="E147" s="7">
        <v>1</v>
      </c>
      <c r="F147" s="7">
        <v>24.99</v>
      </c>
      <c r="G147" s="7">
        <v>0</v>
      </c>
      <c r="H147" s="7">
        <v>24.99</v>
      </c>
    </row>
    <row r="148" spans="2:8" x14ac:dyDescent="0.3">
      <c r="B148">
        <v>1102078</v>
      </c>
      <c r="C148" s="8">
        <v>43147</v>
      </c>
      <c r="D148" t="s">
        <v>11</v>
      </c>
      <c r="E148" s="7">
        <v>13</v>
      </c>
      <c r="F148" s="7">
        <v>119</v>
      </c>
      <c r="G148" s="7">
        <v>23.8</v>
      </c>
      <c r="H148" s="7">
        <v>1523.2</v>
      </c>
    </row>
    <row r="149" spans="2:8" x14ac:dyDescent="0.3">
      <c r="B149">
        <v>1102093</v>
      </c>
      <c r="C149" s="8">
        <v>43150</v>
      </c>
      <c r="D149" t="s">
        <v>9</v>
      </c>
      <c r="E149" s="7">
        <v>1</v>
      </c>
      <c r="F149" s="7">
        <v>12.99</v>
      </c>
      <c r="G149" s="7">
        <v>0</v>
      </c>
      <c r="H149" s="7">
        <v>12.99</v>
      </c>
    </row>
    <row r="150" spans="2:8" x14ac:dyDescent="0.3">
      <c r="B150">
        <v>1102110</v>
      </c>
      <c r="C150" s="8">
        <v>43153</v>
      </c>
      <c r="D150" t="s">
        <v>11</v>
      </c>
      <c r="E150" s="7">
        <v>13</v>
      </c>
      <c r="F150" s="7">
        <v>16.989999999999998</v>
      </c>
      <c r="G150" s="7">
        <v>3.3979999999999997</v>
      </c>
      <c r="H150" s="7">
        <v>217.47199999999998</v>
      </c>
    </row>
    <row r="151" spans="2:8" x14ac:dyDescent="0.3">
      <c r="B151">
        <v>1102253</v>
      </c>
      <c r="C151" s="8">
        <v>43172</v>
      </c>
      <c r="D151" t="s">
        <v>9</v>
      </c>
      <c r="E151" s="7">
        <v>1</v>
      </c>
      <c r="F151" s="7">
        <v>34.99</v>
      </c>
      <c r="G151" s="7">
        <v>0</v>
      </c>
      <c r="H151" s="7">
        <v>34.99</v>
      </c>
    </row>
    <row r="152" spans="2:8" x14ac:dyDescent="0.3">
      <c r="B152">
        <v>1102334</v>
      </c>
      <c r="C152" s="8">
        <v>43185</v>
      </c>
      <c r="D152" t="s">
        <v>11</v>
      </c>
      <c r="E152" s="7">
        <v>10</v>
      </c>
      <c r="F152" s="7">
        <v>7.99</v>
      </c>
      <c r="G152" s="7">
        <v>1.5980000000000001</v>
      </c>
      <c r="H152" s="7">
        <v>78.302000000000007</v>
      </c>
    </row>
    <row r="153" spans="2:8" x14ac:dyDescent="0.3">
      <c r="B153">
        <v>1102619</v>
      </c>
      <c r="C153" s="8">
        <v>43228</v>
      </c>
      <c r="D153" t="s">
        <v>11</v>
      </c>
      <c r="E153" s="7">
        <v>38</v>
      </c>
      <c r="F153" s="7">
        <v>8.99</v>
      </c>
      <c r="G153" s="7">
        <v>1.798</v>
      </c>
      <c r="H153" s="7">
        <v>339.822</v>
      </c>
    </row>
    <row r="154" spans="2:8" x14ac:dyDescent="0.3">
      <c r="B154">
        <v>1102683</v>
      </c>
      <c r="C154" s="8">
        <v>43235</v>
      </c>
      <c r="D154" t="s">
        <v>9</v>
      </c>
      <c r="E154" s="7">
        <v>1</v>
      </c>
      <c r="F154" s="7">
        <v>179</v>
      </c>
      <c r="G154" s="7">
        <v>0</v>
      </c>
      <c r="H154" s="7">
        <v>179</v>
      </c>
    </row>
    <row r="155" spans="2:8" x14ac:dyDescent="0.3">
      <c r="B155">
        <v>1102814</v>
      </c>
      <c r="C155" s="8">
        <v>43257</v>
      </c>
      <c r="D155" t="s">
        <v>9</v>
      </c>
      <c r="E155" s="7">
        <v>1</v>
      </c>
      <c r="F155" s="7">
        <v>19.5</v>
      </c>
      <c r="G155" s="7">
        <v>0</v>
      </c>
      <c r="H155" s="7">
        <v>19.5</v>
      </c>
    </row>
    <row r="156" spans="2:8" x14ac:dyDescent="0.3">
      <c r="B156">
        <v>1102841</v>
      </c>
      <c r="C156" s="8">
        <v>43261</v>
      </c>
      <c r="D156" t="s">
        <v>9</v>
      </c>
      <c r="E156" s="7">
        <v>1</v>
      </c>
      <c r="F156" s="7">
        <v>27.5</v>
      </c>
      <c r="G156" s="7">
        <v>0</v>
      </c>
      <c r="H156" s="7">
        <v>27.5</v>
      </c>
    </row>
    <row r="157" spans="2:8" x14ac:dyDescent="0.3">
      <c r="B157">
        <v>1103080</v>
      </c>
      <c r="C157" s="8">
        <v>43290</v>
      </c>
      <c r="D157" t="s">
        <v>11</v>
      </c>
      <c r="E157" s="7">
        <v>76</v>
      </c>
      <c r="F157" s="7">
        <v>14.99</v>
      </c>
      <c r="G157" s="7">
        <v>2.9980000000000002</v>
      </c>
      <c r="H157" s="7">
        <v>1136.242</v>
      </c>
    </row>
    <row r="158" spans="2:8" x14ac:dyDescent="0.3">
      <c r="B158">
        <v>1103183</v>
      </c>
      <c r="C158" s="8">
        <v>43303</v>
      </c>
      <c r="D158" t="s">
        <v>9</v>
      </c>
      <c r="E158" s="7">
        <v>1</v>
      </c>
      <c r="F158" s="7">
        <v>36.99</v>
      </c>
      <c r="G158" s="7">
        <v>0</v>
      </c>
      <c r="H158" s="7">
        <v>36.99</v>
      </c>
    </row>
    <row r="159" spans="2:8" x14ac:dyDescent="0.3">
      <c r="B159">
        <v>1103302</v>
      </c>
      <c r="C159" s="8">
        <v>43320</v>
      </c>
      <c r="D159" t="s">
        <v>11</v>
      </c>
      <c r="E159" s="7">
        <v>3</v>
      </c>
      <c r="F159" s="7">
        <v>189</v>
      </c>
      <c r="G159" s="7">
        <v>37.800000000000004</v>
      </c>
      <c r="H159" s="7">
        <v>529.20000000000005</v>
      </c>
    </row>
    <row r="160" spans="2:8" x14ac:dyDescent="0.3">
      <c r="B160">
        <v>1103323</v>
      </c>
      <c r="C160" s="8">
        <v>43322</v>
      </c>
      <c r="D160" t="s">
        <v>9</v>
      </c>
      <c r="E160" s="7">
        <v>1</v>
      </c>
      <c r="F160" s="7">
        <v>684</v>
      </c>
      <c r="G160" s="7">
        <v>0</v>
      </c>
      <c r="H160" s="7">
        <v>684</v>
      </c>
    </row>
    <row r="161" spans="2:8" x14ac:dyDescent="0.3">
      <c r="B161">
        <v>1103365</v>
      </c>
      <c r="C161" s="8">
        <v>43328</v>
      </c>
      <c r="D161" t="s">
        <v>11</v>
      </c>
      <c r="E161" s="7">
        <v>12</v>
      </c>
      <c r="F161" s="7">
        <v>49</v>
      </c>
      <c r="G161" s="7">
        <v>9.8000000000000007</v>
      </c>
      <c r="H161" s="7">
        <v>578.20000000000005</v>
      </c>
    </row>
    <row r="162" spans="2:8" x14ac:dyDescent="0.3">
      <c r="B162">
        <v>1103597</v>
      </c>
      <c r="C162" s="8">
        <v>43361</v>
      </c>
      <c r="D162" t="s">
        <v>11</v>
      </c>
      <c r="E162" s="7">
        <v>5</v>
      </c>
      <c r="F162" s="7">
        <v>12</v>
      </c>
      <c r="G162" s="7">
        <v>2.4000000000000004</v>
      </c>
      <c r="H162" s="7">
        <v>57.6</v>
      </c>
    </row>
    <row r="163" spans="2:8" x14ac:dyDescent="0.3">
      <c r="B163">
        <v>1103612</v>
      </c>
      <c r="C163" s="8">
        <v>43363</v>
      </c>
      <c r="D163" t="s">
        <v>11</v>
      </c>
      <c r="E163" s="7">
        <v>6</v>
      </c>
      <c r="F163" s="7">
        <v>89</v>
      </c>
      <c r="G163" s="7">
        <v>17.8</v>
      </c>
      <c r="H163" s="7">
        <v>516.20000000000005</v>
      </c>
    </row>
    <row r="164" spans="2:8" x14ac:dyDescent="0.3">
      <c r="B164">
        <v>1103692</v>
      </c>
      <c r="C164" s="8">
        <v>43375</v>
      </c>
      <c r="D164" t="s">
        <v>9</v>
      </c>
      <c r="E164" s="7">
        <v>1</v>
      </c>
      <c r="F164" s="7">
        <v>4.99</v>
      </c>
      <c r="G164" s="7">
        <v>0</v>
      </c>
      <c r="H164" s="7">
        <v>4.99</v>
      </c>
    </row>
    <row r="165" spans="2:8" x14ac:dyDescent="0.3">
      <c r="B165">
        <v>1103854</v>
      </c>
      <c r="C165" s="8">
        <v>43400</v>
      </c>
      <c r="D165" t="s">
        <v>11</v>
      </c>
      <c r="E165" s="7">
        <v>9</v>
      </c>
      <c r="F165" s="7">
        <v>54</v>
      </c>
      <c r="G165" s="7">
        <v>10.8</v>
      </c>
      <c r="H165" s="7">
        <v>475.2</v>
      </c>
    </row>
    <row r="166" spans="2:8" x14ac:dyDescent="0.3">
      <c r="B166">
        <v>1103884</v>
      </c>
      <c r="C166" s="8">
        <v>43405</v>
      </c>
      <c r="D166" t="s">
        <v>11</v>
      </c>
      <c r="E166" s="7">
        <v>9</v>
      </c>
      <c r="F166" s="7">
        <v>16.989999999999998</v>
      </c>
      <c r="G166" s="7">
        <v>3.3979999999999997</v>
      </c>
      <c r="H166" s="7">
        <v>149.512</v>
      </c>
    </row>
    <row r="167" spans="2:8" x14ac:dyDescent="0.3">
      <c r="B167">
        <v>1103952</v>
      </c>
      <c r="C167" s="8">
        <v>43416</v>
      </c>
      <c r="D167" t="s">
        <v>9</v>
      </c>
      <c r="E167" s="7">
        <v>1</v>
      </c>
      <c r="F167" s="7">
        <v>37.99</v>
      </c>
      <c r="G167" s="7">
        <v>0</v>
      </c>
      <c r="H167" s="7">
        <v>37.99</v>
      </c>
    </row>
    <row r="168" spans="2:8" x14ac:dyDescent="0.3">
      <c r="B168">
        <v>1103964</v>
      </c>
      <c r="C168" s="8">
        <v>43417</v>
      </c>
      <c r="D168" t="s">
        <v>11</v>
      </c>
      <c r="E168" s="7">
        <v>9</v>
      </c>
      <c r="F168" s="7">
        <v>15.5</v>
      </c>
      <c r="G168" s="7">
        <v>3.1</v>
      </c>
      <c r="H168" s="7">
        <v>136.4</v>
      </c>
    </row>
    <row r="169" spans="2:8" x14ac:dyDescent="0.3">
      <c r="B169">
        <v>1104065</v>
      </c>
      <c r="C169" s="8">
        <v>43434</v>
      </c>
      <c r="D169" t="s">
        <v>11</v>
      </c>
      <c r="E169" s="7">
        <v>7</v>
      </c>
      <c r="F169" s="7">
        <v>12</v>
      </c>
      <c r="G169" s="7">
        <v>2.4000000000000004</v>
      </c>
      <c r="H169" s="7">
        <v>81.599999999999994</v>
      </c>
    </row>
    <row r="170" spans="2:8" x14ac:dyDescent="0.3">
      <c r="B170">
        <v>1104209</v>
      </c>
      <c r="C170" s="8">
        <v>43454</v>
      </c>
      <c r="D170" t="s">
        <v>9</v>
      </c>
      <c r="E170" s="7">
        <v>1</v>
      </c>
      <c r="F170" s="7">
        <v>222</v>
      </c>
      <c r="G170" s="7">
        <v>0</v>
      </c>
      <c r="H170" s="7">
        <v>222</v>
      </c>
    </row>
    <row r="171" spans="2:8" x14ac:dyDescent="0.3">
      <c r="B171">
        <v>1104251</v>
      </c>
      <c r="C171" s="8">
        <v>43458</v>
      </c>
      <c r="D171" t="s">
        <v>9</v>
      </c>
      <c r="E171" s="7">
        <v>1</v>
      </c>
      <c r="F171" s="7">
        <v>16.75</v>
      </c>
      <c r="G171" s="7">
        <v>0</v>
      </c>
      <c r="H171" s="7">
        <v>16.75</v>
      </c>
    </row>
    <row r="172" spans="2:8" x14ac:dyDescent="0.3">
      <c r="B172">
        <v>1104356</v>
      </c>
      <c r="C172" s="8">
        <v>43473</v>
      </c>
      <c r="D172" t="s">
        <v>11</v>
      </c>
      <c r="E172" s="7">
        <v>8</v>
      </c>
      <c r="F172" s="7">
        <v>42.99</v>
      </c>
      <c r="G172" s="7">
        <v>8.5980000000000008</v>
      </c>
      <c r="H172" s="7">
        <v>335.322</v>
      </c>
    </row>
    <row r="173" spans="2:8" x14ac:dyDescent="0.3">
      <c r="B173">
        <v>1104462</v>
      </c>
      <c r="C173" s="8">
        <v>43492</v>
      </c>
      <c r="D173" t="s">
        <v>11</v>
      </c>
      <c r="E173" s="7">
        <v>4</v>
      </c>
      <c r="F173" s="7">
        <v>34.99</v>
      </c>
      <c r="G173" s="7">
        <v>6.9980000000000011</v>
      </c>
      <c r="H173" s="7">
        <v>132.96200000000002</v>
      </c>
    </row>
    <row r="174" spans="2:8" x14ac:dyDescent="0.3">
      <c r="B174">
        <v>1104484</v>
      </c>
      <c r="C174" s="8">
        <v>43497</v>
      </c>
      <c r="D174" t="s">
        <v>11</v>
      </c>
      <c r="E174" s="7">
        <v>6</v>
      </c>
      <c r="F174" s="7">
        <v>119</v>
      </c>
      <c r="G174" s="7">
        <v>23.8</v>
      </c>
      <c r="H174" s="7">
        <v>690.2</v>
      </c>
    </row>
    <row r="175" spans="2:8" x14ac:dyDescent="0.3">
      <c r="B175">
        <v>1104566</v>
      </c>
      <c r="C175" s="8">
        <v>43510</v>
      </c>
      <c r="D175" t="s">
        <v>11</v>
      </c>
      <c r="E175" s="7">
        <v>13</v>
      </c>
      <c r="F175" s="7">
        <v>899</v>
      </c>
      <c r="G175" s="7">
        <v>179.8</v>
      </c>
      <c r="H175" s="7">
        <v>11507.2</v>
      </c>
    </row>
    <row r="176" spans="2:8" x14ac:dyDescent="0.3">
      <c r="B176">
        <v>1104650</v>
      </c>
      <c r="C176" s="8">
        <v>43521</v>
      </c>
      <c r="D176" t="s">
        <v>11</v>
      </c>
      <c r="E176" s="7">
        <v>13</v>
      </c>
      <c r="F176" s="7">
        <v>599</v>
      </c>
      <c r="G176" s="7">
        <v>119.80000000000001</v>
      </c>
      <c r="H176" s="7">
        <v>7667.2</v>
      </c>
    </row>
    <row r="177" spans="2:8" x14ac:dyDescent="0.3">
      <c r="B177">
        <v>1104657</v>
      </c>
      <c r="C177" s="8">
        <v>43521</v>
      </c>
      <c r="D177" t="s">
        <v>11</v>
      </c>
      <c r="E177" s="7">
        <v>7</v>
      </c>
      <c r="F177" s="7">
        <v>24.95</v>
      </c>
      <c r="G177" s="7">
        <v>4.99</v>
      </c>
      <c r="H177" s="7">
        <v>169.66</v>
      </c>
    </row>
    <row r="178" spans="2:8" x14ac:dyDescent="0.3">
      <c r="B178">
        <v>1104706</v>
      </c>
      <c r="C178" s="8">
        <v>43527</v>
      </c>
      <c r="D178" t="s">
        <v>9</v>
      </c>
      <c r="E178" s="7">
        <v>1</v>
      </c>
      <c r="F178" s="7">
        <v>14.99</v>
      </c>
      <c r="G178" s="7">
        <v>0</v>
      </c>
      <c r="H178" s="7">
        <v>14.99</v>
      </c>
    </row>
    <row r="179" spans="2:8" x14ac:dyDescent="0.3">
      <c r="B179">
        <v>1104795</v>
      </c>
      <c r="C179" s="8">
        <v>43540</v>
      </c>
      <c r="D179" t="s">
        <v>11</v>
      </c>
      <c r="E179" s="7">
        <v>8</v>
      </c>
      <c r="F179" s="7">
        <v>14.99</v>
      </c>
      <c r="G179" s="7">
        <v>2.9980000000000002</v>
      </c>
      <c r="H179" s="7">
        <v>116.922</v>
      </c>
    </row>
    <row r="180" spans="2:8" x14ac:dyDescent="0.3">
      <c r="B180">
        <v>1104802</v>
      </c>
      <c r="C180" s="8">
        <v>43541</v>
      </c>
      <c r="D180" t="s">
        <v>11</v>
      </c>
      <c r="E180" s="7">
        <v>10</v>
      </c>
      <c r="F180" s="7">
        <v>167</v>
      </c>
      <c r="G180" s="7">
        <v>33.4</v>
      </c>
      <c r="H180" s="7">
        <v>1636.6</v>
      </c>
    </row>
    <row r="181" spans="2:8" x14ac:dyDescent="0.3">
      <c r="B181">
        <v>1104936</v>
      </c>
      <c r="C181" s="8">
        <v>43560</v>
      </c>
      <c r="D181" t="s">
        <v>11</v>
      </c>
      <c r="E181" s="7">
        <v>4</v>
      </c>
      <c r="F181" s="7">
        <v>7.99</v>
      </c>
      <c r="G181" s="7">
        <v>1.5980000000000001</v>
      </c>
      <c r="H181" s="7">
        <v>30.362000000000002</v>
      </c>
    </row>
    <row r="182" spans="2:8" x14ac:dyDescent="0.3">
      <c r="B182">
        <v>1105005</v>
      </c>
      <c r="C182" s="8">
        <v>43570</v>
      </c>
      <c r="D182" t="s">
        <v>9</v>
      </c>
      <c r="E182" s="7">
        <v>1</v>
      </c>
      <c r="F182" s="7">
        <v>23.99</v>
      </c>
      <c r="G182" s="7">
        <v>0</v>
      </c>
      <c r="H182" s="7">
        <v>23.99</v>
      </c>
    </row>
    <row r="183" spans="2:8" x14ac:dyDescent="0.3">
      <c r="B183">
        <v>1105033</v>
      </c>
      <c r="C183" s="8">
        <v>43574</v>
      </c>
      <c r="D183" t="s">
        <v>11</v>
      </c>
      <c r="E183" s="7">
        <v>11</v>
      </c>
      <c r="F183" s="7">
        <v>245</v>
      </c>
      <c r="G183" s="7">
        <v>49</v>
      </c>
      <c r="H183" s="7">
        <v>2646</v>
      </c>
    </row>
    <row r="184" spans="2:8" x14ac:dyDescent="0.3">
      <c r="B184">
        <v>1105056</v>
      </c>
      <c r="C184" s="8">
        <v>43578</v>
      </c>
      <c r="D184" t="s">
        <v>11</v>
      </c>
      <c r="E184" s="7">
        <v>9</v>
      </c>
      <c r="F184" s="7">
        <v>8.99</v>
      </c>
      <c r="G184" s="7">
        <v>1.798</v>
      </c>
      <c r="H184" s="7">
        <v>79.111999999999995</v>
      </c>
    </row>
    <row r="185" spans="2:8" x14ac:dyDescent="0.3">
      <c r="B185">
        <v>1105347</v>
      </c>
      <c r="C185" s="8">
        <v>43622</v>
      </c>
      <c r="D185" t="s">
        <v>9</v>
      </c>
      <c r="E185" s="7">
        <v>1</v>
      </c>
      <c r="F185" s="7">
        <v>42.99</v>
      </c>
      <c r="G185" s="7">
        <v>0</v>
      </c>
      <c r="H185" s="7">
        <v>42.99</v>
      </c>
    </row>
    <row r="186" spans="2:8" x14ac:dyDescent="0.3">
      <c r="B186">
        <v>1105364</v>
      </c>
      <c r="C186" s="8">
        <v>43624</v>
      </c>
      <c r="D186" t="s">
        <v>11</v>
      </c>
      <c r="E186" s="7">
        <v>11</v>
      </c>
      <c r="F186" s="7">
        <v>11.99</v>
      </c>
      <c r="G186" s="7">
        <v>2.3980000000000001</v>
      </c>
      <c r="H186" s="7">
        <v>129.49200000000002</v>
      </c>
    </row>
    <row r="187" spans="2:8" x14ac:dyDescent="0.3">
      <c r="B187">
        <v>1105420</v>
      </c>
      <c r="C187" s="8">
        <v>43632</v>
      </c>
      <c r="D187" t="s">
        <v>11</v>
      </c>
      <c r="E187" s="7">
        <v>10</v>
      </c>
      <c r="F187" s="7">
        <v>7.99</v>
      </c>
      <c r="G187" s="7">
        <v>1.5980000000000001</v>
      </c>
      <c r="H187" s="7">
        <v>78.302000000000007</v>
      </c>
    </row>
    <row r="188" spans="2:8" x14ac:dyDescent="0.3">
      <c r="B188">
        <v>1105445</v>
      </c>
      <c r="C188" s="8">
        <v>43635</v>
      </c>
      <c r="D188" t="s">
        <v>11</v>
      </c>
      <c r="E188" s="7">
        <v>7</v>
      </c>
      <c r="F188" s="7">
        <v>14.99</v>
      </c>
      <c r="G188" s="7">
        <v>2.9980000000000002</v>
      </c>
      <c r="H188" s="7">
        <v>101.932</v>
      </c>
    </row>
    <row r="189" spans="2:8" x14ac:dyDescent="0.3">
      <c r="B189">
        <v>1105491</v>
      </c>
      <c r="C189" s="8">
        <v>43642</v>
      </c>
      <c r="D189" t="s">
        <v>9</v>
      </c>
      <c r="E189" s="7">
        <v>1</v>
      </c>
      <c r="F189" s="7">
        <v>37.99</v>
      </c>
      <c r="G189" s="7">
        <v>0</v>
      </c>
      <c r="H189" s="7">
        <v>37.99</v>
      </c>
    </row>
    <row r="190" spans="2:8" x14ac:dyDescent="0.3">
      <c r="B190">
        <v>1105517</v>
      </c>
      <c r="C190" s="8">
        <v>43647</v>
      </c>
      <c r="D190" t="s">
        <v>11</v>
      </c>
      <c r="E190" s="7">
        <v>11</v>
      </c>
      <c r="F190" s="7">
        <v>179</v>
      </c>
      <c r="G190" s="7">
        <v>35.800000000000004</v>
      </c>
      <c r="H190" s="7">
        <v>1933.2</v>
      </c>
    </row>
    <row r="191" spans="2:8" x14ac:dyDescent="0.3">
      <c r="B191">
        <v>1105691</v>
      </c>
      <c r="C191" s="8">
        <v>43674</v>
      </c>
      <c r="D191" t="s">
        <v>11</v>
      </c>
      <c r="E191" s="7">
        <v>94</v>
      </c>
      <c r="F191" s="7">
        <v>14.99</v>
      </c>
      <c r="G191" s="7">
        <v>2.9980000000000002</v>
      </c>
      <c r="H191" s="7">
        <v>1406.0619999999999</v>
      </c>
    </row>
    <row r="192" spans="2:8" x14ac:dyDescent="0.3">
      <c r="B192">
        <v>1105724</v>
      </c>
      <c r="C192" s="8">
        <v>43679</v>
      </c>
      <c r="D192" t="s">
        <v>9</v>
      </c>
      <c r="E192" s="7">
        <v>1</v>
      </c>
      <c r="F192" s="7">
        <v>10.99</v>
      </c>
      <c r="G192" s="7">
        <v>0</v>
      </c>
      <c r="H192" s="7">
        <v>10.99</v>
      </c>
    </row>
    <row r="193" spans="2:8" x14ac:dyDescent="0.3">
      <c r="B193">
        <v>1105870</v>
      </c>
      <c r="C193" s="8">
        <v>43701</v>
      </c>
      <c r="D193" t="s">
        <v>9</v>
      </c>
      <c r="E193" s="7">
        <v>3</v>
      </c>
      <c r="F193" s="7">
        <v>599</v>
      </c>
      <c r="G193" s="7">
        <v>0</v>
      </c>
      <c r="H193" s="7">
        <v>1797</v>
      </c>
    </row>
    <row r="194" spans="2:8" x14ac:dyDescent="0.3">
      <c r="B194">
        <v>1100935</v>
      </c>
      <c r="C194" s="8">
        <v>42979</v>
      </c>
      <c r="D194" t="s">
        <v>9</v>
      </c>
      <c r="E194" s="7">
        <v>2</v>
      </c>
      <c r="F194" s="7">
        <v>89</v>
      </c>
      <c r="G194" s="7">
        <v>0</v>
      </c>
      <c r="H194" s="7">
        <v>178</v>
      </c>
    </row>
    <row r="195" spans="2:8" x14ac:dyDescent="0.3">
      <c r="B195">
        <v>1100971</v>
      </c>
      <c r="C195" s="8">
        <v>42984</v>
      </c>
      <c r="D195" t="s">
        <v>11</v>
      </c>
      <c r="E195" s="7">
        <v>12</v>
      </c>
      <c r="F195" s="7">
        <v>250</v>
      </c>
      <c r="G195" s="7">
        <v>50</v>
      </c>
      <c r="H195" s="7">
        <v>2950</v>
      </c>
    </row>
    <row r="196" spans="2:8" x14ac:dyDescent="0.3">
      <c r="B196">
        <v>1100970</v>
      </c>
      <c r="C196" s="8">
        <v>42984</v>
      </c>
      <c r="D196" t="s">
        <v>9</v>
      </c>
      <c r="E196" s="7">
        <v>1</v>
      </c>
      <c r="F196" s="7">
        <v>8.99</v>
      </c>
      <c r="G196" s="7">
        <v>0</v>
      </c>
      <c r="H196" s="7">
        <v>8.99</v>
      </c>
    </row>
    <row r="197" spans="2:8" x14ac:dyDescent="0.3">
      <c r="B197">
        <v>1100982</v>
      </c>
      <c r="C197" s="8">
        <v>42986</v>
      </c>
      <c r="D197" t="s">
        <v>11</v>
      </c>
      <c r="E197" s="7">
        <v>6</v>
      </c>
      <c r="F197" s="7">
        <v>34.99</v>
      </c>
      <c r="G197" s="7">
        <v>6.9980000000000011</v>
      </c>
      <c r="H197" s="7">
        <v>202.94200000000001</v>
      </c>
    </row>
    <row r="198" spans="2:8" x14ac:dyDescent="0.3">
      <c r="B198">
        <v>1100984</v>
      </c>
      <c r="C198" s="8">
        <v>42987</v>
      </c>
      <c r="D198" t="s">
        <v>11</v>
      </c>
      <c r="E198" s="7">
        <v>10</v>
      </c>
      <c r="F198" s="7">
        <v>34.99</v>
      </c>
      <c r="G198" s="7">
        <v>6.9980000000000011</v>
      </c>
      <c r="H198" s="7">
        <v>342.90200000000004</v>
      </c>
    </row>
    <row r="199" spans="2:8" x14ac:dyDescent="0.3">
      <c r="B199">
        <v>1101004</v>
      </c>
      <c r="C199" s="8">
        <v>42990</v>
      </c>
      <c r="D199" t="s">
        <v>9</v>
      </c>
      <c r="E199" s="7">
        <v>1</v>
      </c>
      <c r="F199" s="7">
        <v>8.99</v>
      </c>
      <c r="G199" s="7">
        <v>0</v>
      </c>
      <c r="H199" s="7">
        <v>8.99</v>
      </c>
    </row>
    <row r="200" spans="2:8" x14ac:dyDescent="0.3">
      <c r="B200">
        <v>1101016</v>
      </c>
      <c r="C200" s="8">
        <v>42991</v>
      </c>
      <c r="D200" t="s">
        <v>11</v>
      </c>
      <c r="E200" s="7">
        <v>4</v>
      </c>
      <c r="F200" s="7">
        <v>89</v>
      </c>
      <c r="G200" s="7">
        <v>17.8</v>
      </c>
      <c r="H200" s="7">
        <v>338.2</v>
      </c>
    </row>
    <row r="201" spans="2:8" x14ac:dyDescent="0.3">
      <c r="B201">
        <v>1101035</v>
      </c>
      <c r="C201" s="8">
        <v>42994</v>
      </c>
      <c r="D201" t="s">
        <v>11</v>
      </c>
      <c r="E201" s="7">
        <v>8</v>
      </c>
      <c r="F201" s="7">
        <v>499</v>
      </c>
      <c r="G201" s="7">
        <v>99.800000000000011</v>
      </c>
      <c r="H201" s="7">
        <v>3892.2</v>
      </c>
    </row>
  </sheetData>
  <autoFilter ref="B3:H201" xr:uid="{700E0F9F-C5C5-4ECB-91D8-122569DA2C72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B1C6-B6BE-42AE-8E09-0DE9211F812F}">
  <sheetPr>
    <tabColor theme="9" tint="-0.499984740745262"/>
  </sheetPr>
  <dimension ref="B1:K201"/>
  <sheetViews>
    <sheetView showGridLines="0" topLeftCell="D1" zoomScale="90" zoomScaleNormal="90" workbookViewId="0">
      <pane ySplit="3" topLeftCell="A4" activePane="bottomLeft" state="frozen"/>
      <selection pane="bottomLeft" activeCell="O37" sqref="O37"/>
    </sheetView>
  </sheetViews>
  <sheetFormatPr defaultRowHeight="14.4" x14ac:dyDescent="0.3"/>
  <cols>
    <col min="2" max="2" width="10.21875" customWidth="1"/>
    <col min="3" max="3" width="11.21875" bestFit="1" customWidth="1"/>
    <col min="4" max="4" width="14.77734375" customWidth="1"/>
    <col min="5" max="9" width="10.21875" customWidth="1"/>
    <col min="11" max="11" width="20.6640625" customWidth="1"/>
  </cols>
  <sheetData>
    <row r="1" spans="2:11" x14ac:dyDescent="0.3">
      <c r="B1" t="s">
        <v>46</v>
      </c>
    </row>
    <row r="2" spans="2:11" x14ac:dyDescent="0.3">
      <c r="B2" s="3" t="s">
        <v>18</v>
      </c>
      <c r="C2" s="3"/>
      <c r="D2" s="3"/>
      <c r="E2" s="3"/>
      <c r="F2" s="3"/>
      <c r="G2" s="3"/>
      <c r="H2" s="3"/>
      <c r="I2" s="3"/>
      <c r="K2" s="4" t="s">
        <v>19</v>
      </c>
    </row>
    <row r="3" spans="2:11" s="16" customFormat="1" ht="41.4" customHeight="1" x14ac:dyDescent="0.3">
      <c r="B3" s="15" t="s">
        <v>1</v>
      </c>
      <c r="C3" s="15" t="s">
        <v>2</v>
      </c>
      <c r="D3" s="15" t="s">
        <v>4</v>
      </c>
      <c r="E3" s="15" t="s">
        <v>3</v>
      </c>
      <c r="F3" s="15" t="s">
        <v>5</v>
      </c>
      <c r="G3" s="15" t="s">
        <v>6</v>
      </c>
      <c r="H3" s="15" t="s">
        <v>7</v>
      </c>
      <c r="I3" s="15" t="s">
        <v>8</v>
      </c>
    </row>
    <row r="4" spans="2:11" x14ac:dyDescent="0.3">
      <c r="B4">
        <v>1100948</v>
      </c>
      <c r="C4" s="8">
        <v>42981</v>
      </c>
      <c r="D4" s="8" t="s">
        <v>10</v>
      </c>
      <c r="E4" t="s">
        <v>9</v>
      </c>
      <c r="F4" s="7">
        <v>1</v>
      </c>
      <c r="G4" s="7">
        <v>44.95</v>
      </c>
      <c r="H4" s="7">
        <v>0</v>
      </c>
      <c r="I4" s="7">
        <v>44.95</v>
      </c>
      <c r="K4" t="e" cm="1" vm="4">
        <f t="array" ref="K4">_xlfn._xlws.PY(3,1,B3:I201)</f>
        <v>#VALUE!</v>
      </c>
    </row>
    <row r="5" spans="2:11" x14ac:dyDescent="0.3">
      <c r="B5">
        <v>1101096</v>
      </c>
      <c r="C5" s="8">
        <v>43002</v>
      </c>
      <c r="D5" s="8" t="s">
        <v>12</v>
      </c>
      <c r="E5" t="s">
        <v>11</v>
      </c>
      <c r="F5" s="7">
        <v>10</v>
      </c>
      <c r="G5" s="7">
        <v>4.99</v>
      </c>
      <c r="H5" s="7">
        <v>0.99800000000000011</v>
      </c>
      <c r="I5" s="7">
        <v>48.902000000000008</v>
      </c>
    </row>
    <row r="6" spans="2:11" x14ac:dyDescent="0.3">
      <c r="B6">
        <v>1101138</v>
      </c>
      <c r="C6" s="8">
        <v>43009</v>
      </c>
      <c r="D6" s="8" t="s">
        <v>13</v>
      </c>
      <c r="E6" t="s">
        <v>11</v>
      </c>
      <c r="F6" s="7">
        <v>4</v>
      </c>
      <c r="G6" s="7">
        <v>250</v>
      </c>
      <c r="H6" s="7">
        <v>50</v>
      </c>
      <c r="I6" s="7">
        <v>950</v>
      </c>
      <c r="K6" t="e" cm="1" vm="5">
        <f t="array" ref="K6">_xlfn._xlws.PY(4,1)</f>
        <v>#VALUE!</v>
      </c>
    </row>
    <row r="7" spans="2:11" x14ac:dyDescent="0.3">
      <c r="B7">
        <v>1101158</v>
      </c>
      <c r="C7" s="8">
        <v>43011</v>
      </c>
      <c r="D7" s="8" t="s">
        <v>13</v>
      </c>
      <c r="E7" t="s">
        <v>9</v>
      </c>
      <c r="F7" s="7">
        <v>1</v>
      </c>
      <c r="G7" s="7">
        <v>250</v>
      </c>
      <c r="H7" s="7">
        <v>0</v>
      </c>
      <c r="I7" s="7">
        <v>250</v>
      </c>
    </row>
    <row r="8" spans="2:11" x14ac:dyDescent="0.3">
      <c r="B8">
        <v>1101181</v>
      </c>
      <c r="C8" s="8">
        <v>43017</v>
      </c>
      <c r="D8" s="8" t="s">
        <v>14</v>
      </c>
      <c r="E8" t="s">
        <v>9</v>
      </c>
      <c r="F8" s="7">
        <v>1</v>
      </c>
      <c r="G8" s="7">
        <v>13.99</v>
      </c>
      <c r="H8" s="7">
        <v>0</v>
      </c>
      <c r="I8" s="7">
        <v>13.99</v>
      </c>
    </row>
    <row r="9" spans="2:11" x14ac:dyDescent="0.3">
      <c r="B9">
        <v>1101354</v>
      </c>
      <c r="C9" s="8">
        <v>43039</v>
      </c>
      <c r="D9" s="8" t="s">
        <v>10</v>
      </c>
      <c r="E9" t="s">
        <v>11</v>
      </c>
      <c r="F9" s="7">
        <v>8</v>
      </c>
      <c r="G9" s="7">
        <v>49</v>
      </c>
      <c r="H9" s="7">
        <v>9.8000000000000007</v>
      </c>
      <c r="I9" s="7">
        <v>382.2</v>
      </c>
    </row>
    <row r="10" spans="2:11" x14ac:dyDescent="0.3">
      <c r="B10">
        <v>1101475</v>
      </c>
      <c r="C10" s="8">
        <v>43057</v>
      </c>
      <c r="D10" s="8" t="s">
        <v>15</v>
      </c>
      <c r="E10" t="s">
        <v>9</v>
      </c>
      <c r="F10" s="7">
        <v>1</v>
      </c>
      <c r="G10" s="7">
        <v>599</v>
      </c>
      <c r="H10" s="7">
        <v>0</v>
      </c>
      <c r="I10" s="7">
        <v>599</v>
      </c>
    </row>
    <row r="11" spans="2:11" x14ac:dyDescent="0.3">
      <c r="B11">
        <v>1101495</v>
      </c>
      <c r="C11" s="8">
        <v>43061</v>
      </c>
      <c r="D11" s="8" t="s">
        <v>15</v>
      </c>
      <c r="E11" t="s">
        <v>11</v>
      </c>
      <c r="F11" s="7">
        <v>13</v>
      </c>
      <c r="G11" s="7">
        <v>899</v>
      </c>
      <c r="H11" s="7">
        <v>179.8</v>
      </c>
      <c r="I11" s="7">
        <v>11507.2</v>
      </c>
    </row>
    <row r="12" spans="2:11" x14ac:dyDescent="0.3">
      <c r="B12">
        <v>1101685</v>
      </c>
      <c r="C12" s="8">
        <v>43087</v>
      </c>
      <c r="D12" s="8" t="s">
        <v>16</v>
      </c>
      <c r="E12" t="s">
        <v>9</v>
      </c>
      <c r="F12" s="7">
        <v>1</v>
      </c>
      <c r="G12" s="7">
        <v>119</v>
      </c>
      <c r="H12" s="6">
        <v>0</v>
      </c>
      <c r="I12" s="7">
        <v>119</v>
      </c>
    </row>
    <row r="13" spans="2:11" x14ac:dyDescent="0.3">
      <c r="B13">
        <v>1101743</v>
      </c>
      <c r="C13" s="8">
        <v>43096</v>
      </c>
      <c r="D13" s="8" t="s">
        <v>16</v>
      </c>
      <c r="E13" t="s">
        <v>11</v>
      </c>
      <c r="F13" s="7">
        <v>6</v>
      </c>
      <c r="G13" s="7">
        <v>179</v>
      </c>
      <c r="H13" s="7">
        <v>35.800000000000004</v>
      </c>
      <c r="I13" s="7">
        <v>1038.2</v>
      </c>
    </row>
    <row r="14" spans="2:11" x14ac:dyDescent="0.3">
      <c r="B14">
        <v>1101825</v>
      </c>
      <c r="C14" s="8">
        <v>43108</v>
      </c>
      <c r="D14" s="8" t="s">
        <v>17</v>
      </c>
      <c r="E14" t="s">
        <v>11</v>
      </c>
      <c r="F14" s="7">
        <v>4</v>
      </c>
      <c r="G14" s="7">
        <v>189</v>
      </c>
      <c r="H14" s="7">
        <v>37.800000000000004</v>
      </c>
      <c r="I14" s="7">
        <v>718.2</v>
      </c>
    </row>
    <row r="15" spans="2:11" x14ac:dyDescent="0.3">
      <c r="B15">
        <v>1101839</v>
      </c>
      <c r="C15" s="8">
        <v>43109</v>
      </c>
      <c r="D15" s="8" t="s">
        <v>10</v>
      </c>
      <c r="E15" t="s">
        <v>11</v>
      </c>
      <c r="F15" s="7">
        <v>8</v>
      </c>
      <c r="G15" s="7">
        <v>29.99</v>
      </c>
      <c r="H15" s="7">
        <v>5.9980000000000002</v>
      </c>
      <c r="I15" s="7">
        <v>233.922</v>
      </c>
    </row>
    <row r="16" spans="2:11" x14ac:dyDescent="0.3">
      <c r="B16">
        <v>1101902</v>
      </c>
      <c r="C16" s="8">
        <v>43119</v>
      </c>
      <c r="D16" s="8" t="s">
        <v>12</v>
      </c>
      <c r="E16" t="s">
        <v>11</v>
      </c>
      <c r="F16" s="7">
        <v>5</v>
      </c>
      <c r="G16" s="7">
        <v>7.99</v>
      </c>
      <c r="H16" s="7">
        <v>1.5980000000000001</v>
      </c>
      <c r="I16" s="7">
        <v>38.352000000000004</v>
      </c>
    </row>
    <row r="17" spans="2:9" x14ac:dyDescent="0.3">
      <c r="B17">
        <v>1101926</v>
      </c>
      <c r="C17" s="8">
        <v>43122</v>
      </c>
      <c r="D17" s="8" t="s">
        <v>10</v>
      </c>
      <c r="E17" t="s">
        <v>11</v>
      </c>
      <c r="F17" s="7">
        <v>6</v>
      </c>
      <c r="G17" s="7">
        <v>29.99</v>
      </c>
      <c r="H17" s="7">
        <v>5.9980000000000002</v>
      </c>
      <c r="I17" s="7">
        <v>173.94200000000001</v>
      </c>
    </row>
    <row r="18" spans="2:9" x14ac:dyDescent="0.3">
      <c r="B18">
        <v>1101945</v>
      </c>
      <c r="C18" s="8">
        <v>43125</v>
      </c>
      <c r="D18" s="8" t="s">
        <v>14</v>
      </c>
      <c r="E18" t="s">
        <v>9</v>
      </c>
      <c r="F18" s="7">
        <v>1</v>
      </c>
      <c r="G18" s="7">
        <v>19.989999999999998</v>
      </c>
      <c r="H18" s="7">
        <v>0</v>
      </c>
      <c r="I18" s="7">
        <v>19.989999999999998</v>
      </c>
    </row>
    <row r="19" spans="2:9" x14ac:dyDescent="0.3">
      <c r="B19">
        <v>1102052</v>
      </c>
      <c r="C19" s="8">
        <v>43143</v>
      </c>
      <c r="D19" s="8" t="s">
        <v>12</v>
      </c>
      <c r="E19" t="s">
        <v>11</v>
      </c>
      <c r="F19" s="7">
        <v>6</v>
      </c>
      <c r="G19" s="7">
        <v>4.99</v>
      </c>
      <c r="H19" s="7">
        <v>0.99800000000000011</v>
      </c>
      <c r="I19" s="7">
        <v>28.942</v>
      </c>
    </row>
    <row r="20" spans="2:9" x14ac:dyDescent="0.3">
      <c r="B20">
        <v>1102085</v>
      </c>
      <c r="C20" s="8">
        <v>43149</v>
      </c>
      <c r="D20" s="8" t="s">
        <v>14</v>
      </c>
      <c r="E20" t="s">
        <v>11</v>
      </c>
      <c r="F20" s="7">
        <v>9</v>
      </c>
      <c r="G20" s="7">
        <v>24.99</v>
      </c>
      <c r="H20" s="7">
        <v>4.9980000000000002</v>
      </c>
      <c r="I20" s="7">
        <v>219.91200000000001</v>
      </c>
    </row>
    <row r="21" spans="2:9" x14ac:dyDescent="0.3">
      <c r="B21">
        <v>1102227</v>
      </c>
      <c r="C21" s="8">
        <v>43168</v>
      </c>
      <c r="D21" s="8" t="s">
        <v>14</v>
      </c>
      <c r="E21" t="s">
        <v>11</v>
      </c>
      <c r="F21" s="7">
        <v>15</v>
      </c>
      <c r="G21" s="7">
        <v>13.99</v>
      </c>
      <c r="H21" s="7">
        <v>2.798</v>
      </c>
      <c r="I21" s="7">
        <v>207.05199999999999</v>
      </c>
    </row>
    <row r="22" spans="2:9" x14ac:dyDescent="0.3">
      <c r="B22">
        <v>1102305</v>
      </c>
      <c r="C22" s="8">
        <v>43180</v>
      </c>
      <c r="D22" s="8" t="s">
        <v>10</v>
      </c>
      <c r="E22" t="s">
        <v>11</v>
      </c>
      <c r="F22" s="7">
        <v>9</v>
      </c>
      <c r="G22" s="7">
        <v>37.99</v>
      </c>
      <c r="H22" s="7">
        <v>7.5980000000000008</v>
      </c>
      <c r="I22" s="7">
        <v>334.31200000000001</v>
      </c>
    </row>
    <row r="23" spans="2:9" x14ac:dyDescent="0.3">
      <c r="B23">
        <v>1102306</v>
      </c>
      <c r="C23" s="8">
        <v>43180</v>
      </c>
      <c r="D23" s="8" t="s">
        <v>14</v>
      </c>
      <c r="E23" t="s">
        <v>11</v>
      </c>
      <c r="F23" s="7">
        <v>6</v>
      </c>
      <c r="G23" s="7">
        <v>16.989999999999998</v>
      </c>
      <c r="H23" s="7">
        <v>3.3979999999999997</v>
      </c>
      <c r="I23" s="7">
        <v>98.542000000000002</v>
      </c>
    </row>
    <row r="24" spans="2:9" x14ac:dyDescent="0.3">
      <c r="B24">
        <v>1102439</v>
      </c>
      <c r="C24" s="8">
        <v>43201</v>
      </c>
      <c r="D24" s="8" t="s">
        <v>12</v>
      </c>
      <c r="E24" t="s">
        <v>11</v>
      </c>
      <c r="F24" s="7">
        <v>9</v>
      </c>
      <c r="G24" s="7">
        <v>8.99</v>
      </c>
      <c r="H24" s="7">
        <v>1.798</v>
      </c>
      <c r="I24" s="7">
        <v>79.111999999999995</v>
      </c>
    </row>
    <row r="25" spans="2:9" x14ac:dyDescent="0.3">
      <c r="B25">
        <v>1102469</v>
      </c>
      <c r="C25" s="8">
        <v>43205</v>
      </c>
      <c r="D25" s="8" t="s">
        <v>15</v>
      </c>
      <c r="E25" t="s">
        <v>9</v>
      </c>
      <c r="F25" s="7">
        <v>2</v>
      </c>
      <c r="G25" s="7">
        <v>699</v>
      </c>
      <c r="H25" s="7">
        <v>0</v>
      </c>
      <c r="I25" s="7">
        <v>1398</v>
      </c>
    </row>
    <row r="26" spans="2:9" x14ac:dyDescent="0.3">
      <c r="B26">
        <v>1102578</v>
      </c>
      <c r="C26" s="8">
        <v>43222</v>
      </c>
      <c r="D26" s="8" t="s">
        <v>13</v>
      </c>
      <c r="E26" t="s">
        <v>11</v>
      </c>
      <c r="F26" s="7">
        <v>5</v>
      </c>
      <c r="G26" s="7">
        <v>450</v>
      </c>
      <c r="H26" s="7">
        <v>90</v>
      </c>
      <c r="I26" s="7">
        <v>2160</v>
      </c>
    </row>
    <row r="27" spans="2:9" x14ac:dyDescent="0.3">
      <c r="B27">
        <v>1102680</v>
      </c>
      <c r="C27" s="8">
        <v>43235</v>
      </c>
      <c r="D27" s="8" t="s">
        <v>12</v>
      </c>
      <c r="E27" t="s">
        <v>9</v>
      </c>
      <c r="F27" s="7">
        <v>1</v>
      </c>
      <c r="G27" s="7">
        <v>8.99</v>
      </c>
      <c r="H27" s="7">
        <v>0</v>
      </c>
      <c r="I27" s="7">
        <v>8.99</v>
      </c>
    </row>
    <row r="28" spans="2:9" x14ac:dyDescent="0.3">
      <c r="B28">
        <v>1102697</v>
      </c>
      <c r="C28" s="8">
        <v>43238</v>
      </c>
      <c r="D28" s="8" t="s">
        <v>12</v>
      </c>
      <c r="E28" t="s">
        <v>9</v>
      </c>
      <c r="F28" s="7">
        <v>1</v>
      </c>
      <c r="G28" s="7">
        <v>12</v>
      </c>
      <c r="H28" s="7">
        <v>0</v>
      </c>
      <c r="I28" s="7">
        <v>12</v>
      </c>
    </row>
    <row r="29" spans="2:9" x14ac:dyDescent="0.3">
      <c r="B29">
        <v>1102745</v>
      </c>
      <c r="C29" s="8">
        <v>43245</v>
      </c>
      <c r="D29" s="8" t="s">
        <v>12</v>
      </c>
      <c r="E29" t="s">
        <v>11</v>
      </c>
      <c r="F29" s="7">
        <v>9</v>
      </c>
      <c r="G29" s="7">
        <v>12</v>
      </c>
      <c r="H29" s="7">
        <v>2.4000000000000004</v>
      </c>
      <c r="I29" s="7">
        <v>105.6</v>
      </c>
    </row>
    <row r="30" spans="2:9" x14ac:dyDescent="0.3">
      <c r="B30">
        <v>1103009</v>
      </c>
      <c r="C30" s="8">
        <v>43282</v>
      </c>
      <c r="D30" s="8" t="s">
        <v>17</v>
      </c>
      <c r="E30" t="s">
        <v>11</v>
      </c>
      <c r="F30" s="7">
        <v>8</v>
      </c>
      <c r="G30" s="7">
        <v>189</v>
      </c>
      <c r="H30" s="7">
        <v>37.800000000000004</v>
      </c>
      <c r="I30" s="7">
        <v>1474.2</v>
      </c>
    </row>
    <row r="31" spans="2:9" x14ac:dyDescent="0.3">
      <c r="B31">
        <v>1103056</v>
      </c>
      <c r="C31" s="8">
        <v>43288</v>
      </c>
      <c r="D31" s="8" t="s">
        <v>10</v>
      </c>
      <c r="E31" t="s">
        <v>9</v>
      </c>
      <c r="F31" s="7">
        <v>1</v>
      </c>
      <c r="G31" s="7">
        <v>49.95</v>
      </c>
      <c r="H31" s="7">
        <v>0</v>
      </c>
      <c r="I31" s="7">
        <v>49.95</v>
      </c>
    </row>
    <row r="32" spans="2:9" x14ac:dyDescent="0.3">
      <c r="B32">
        <v>1103206</v>
      </c>
      <c r="C32" s="8">
        <v>43307</v>
      </c>
      <c r="D32" s="8" t="s">
        <v>17</v>
      </c>
      <c r="E32" t="s">
        <v>9</v>
      </c>
      <c r="F32" s="7">
        <v>1</v>
      </c>
      <c r="G32" s="7">
        <v>189</v>
      </c>
      <c r="H32" s="7">
        <v>0</v>
      </c>
      <c r="I32" s="7">
        <v>189</v>
      </c>
    </row>
    <row r="33" spans="2:9" x14ac:dyDescent="0.3">
      <c r="B33">
        <v>1103219</v>
      </c>
      <c r="C33" s="8">
        <v>43308</v>
      </c>
      <c r="D33" s="8" t="s">
        <v>16</v>
      </c>
      <c r="E33" t="s">
        <v>11</v>
      </c>
      <c r="F33" s="7">
        <v>53</v>
      </c>
      <c r="G33" s="7">
        <v>69</v>
      </c>
      <c r="H33" s="7">
        <v>13.8</v>
      </c>
      <c r="I33" s="7">
        <v>3643.2</v>
      </c>
    </row>
    <row r="34" spans="2:9" x14ac:dyDescent="0.3">
      <c r="B34">
        <v>1103275</v>
      </c>
      <c r="C34" s="8">
        <v>43315</v>
      </c>
      <c r="D34" s="8" t="s">
        <v>14</v>
      </c>
      <c r="E34" t="s">
        <v>9</v>
      </c>
      <c r="F34" s="7">
        <v>1</v>
      </c>
      <c r="G34" s="7">
        <v>15.5</v>
      </c>
      <c r="H34" s="7">
        <v>0</v>
      </c>
      <c r="I34" s="7">
        <v>15.5</v>
      </c>
    </row>
    <row r="35" spans="2:9" x14ac:dyDescent="0.3">
      <c r="B35">
        <v>1103291</v>
      </c>
      <c r="C35" s="8">
        <v>43317</v>
      </c>
      <c r="D35" s="8" t="s">
        <v>15</v>
      </c>
      <c r="E35" t="s">
        <v>9</v>
      </c>
      <c r="F35" s="7">
        <v>1</v>
      </c>
      <c r="G35" s="7">
        <v>883</v>
      </c>
      <c r="H35" s="7">
        <v>0</v>
      </c>
      <c r="I35" s="7">
        <v>883</v>
      </c>
    </row>
    <row r="36" spans="2:9" x14ac:dyDescent="0.3">
      <c r="B36">
        <v>1103289</v>
      </c>
      <c r="C36" s="8">
        <v>43317</v>
      </c>
      <c r="D36" s="8" t="s">
        <v>14</v>
      </c>
      <c r="E36" t="s">
        <v>9</v>
      </c>
      <c r="F36" s="7">
        <v>1</v>
      </c>
      <c r="G36" s="7">
        <v>16.989999999999998</v>
      </c>
      <c r="H36" s="7">
        <v>0</v>
      </c>
      <c r="I36" s="7">
        <v>16.989999999999998</v>
      </c>
    </row>
    <row r="37" spans="2:9" x14ac:dyDescent="0.3">
      <c r="B37">
        <v>1103301</v>
      </c>
      <c r="C37" s="8">
        <v>43319</v>
      </c>
      <c r="D37" s="8" t="s">
        <v>14</v>
      </c>
      <c r="E37" t="s">
        <v>9</v>
      </c>
      <c r="F37" s="7">
        <v>1</v>
      </c>
      <c r="G37" s="7">
        <v>13.99</v>
      </c>
      <c r="H37" s="7">
        <v>0</v>
      </c>
      <c r="I37" s="7">
        <v>13.99</v>
      </c>
    </row>
    <row r="38" spans="2:9" x14ac:dyDescent="0.3">
      <c r="B38">
        <v>1103413</v>
      </c>
      <c r="C38" s="8">
        <v>43334</v>
      </c>
      <c r="D38" s="8" t="s">
        <v>14</v>
      </c>
      <c r="E38" t="s">
        <v>9</v>
      </c>
      <c r="F38" s="7">
        <v>1</v>
      </c>
      <c r="G38" s="7">
        <v>16.75</v>
      </c>
      <c r="H38" s="7">
        <v>0</v>
      </c>
      <c r="I38" s="7">
        <v>16.75</v>
      </c>
    </row>
    <row r="39" spans="2:9" x14ac:dyDescent="0.3">
      <c r="B39">
        <v>1103565</v>
      </c>
      <c r="C39" s="8">
        <v>43355</v>
      </c>
      <c r="D39" s="8" t="s">
        <v>14</v>
      </c>
      <c r="E39" t="s">
        <v>11</v>
      </c>
      <c r="F39" s="7">
        <v>6</v>
      </c>
      <c r="G39" s="7">
        <v>16.989999999999998</v>
      </c>
      <c r="H39" s="7">
        <v>3.3979999999999997</v>
      </c>
      <c r="I39" s="7">
        <v>98.542000000000002</v>
      </c>
    </row>
    <row r="40" spans="2:9" x14ac:dyDescent="0.3">
      <c r="B40">
        <v>1103780</v>
      </c>
      <c r="C40" s="8">
        <v>43389</v>
      </c>
      <c r="D40" s="8" t="s">
        <v>14</v>
      </c>
      <c r="E40" t="s">
        <v>11</v>
      </c>
      <c r="F40" s="7">
        <v>8</v>
      </c>
      <c r="G40" s="7">
        <v>15.5</v>
      </c>
      <c r="H40" s="7">
        <v>3.1</v>
      </c>
      <c r="I40" s="7">
        <v>120.9</v>
      </c>
    </row>
    <row r="41" spans="2:9" x14ac:dyDescent="0.3">
      <c r="B41">
        <v>1103787</v>
      </c>
      <c r="C41" s="8">
        <v>43390</v>
      </c>
      <c r="D41" s="8" t="s">
        <v>10</v>
      </c>
      <c r="E41" t="s">
        <v>9</v>
      </c>
      <c r="F41" s="7">
        <v>1</v>
      </c>
      <c r="G41" s="7">
        <v>44.95</v>
      </c>
      <c r="H41" s="7">
        <v>0</v>
      </c>
      <c r="I41" s="7">
        <v>44.95</v>
      </c>
    </row>
    <row r="42" spans="2:9" x14ac:dyDescent="0.3">
      <c r="B42">
        <v>1103799</v>
      </c>
      <c r="C42" s="8">
        <v>43391</v>
      </c>
      <c r="D42" s="8" t="s">
        <v>10</v>
      </c>
      <c r="E42" t="s">
        <v>11</v>
      </c>
      <c r="F42" s="7">
        <v>78</v>
      </c>
      <c r="G42" s="7">
        <v>44.95</v>
      </c>
      <c r="H42" s="7">
        <v>8.99</v>
      </c>
      <c r="I42" s="7">
        <v>3497.1100000000006</v>
      </c>
    </row>
    <row r="43" spans="2:9" x14ac:dyDescent="0.3">
      <c r="B43">
        <v>1103887</v>
      </c>
      <c r="C43" s="8">
        <v>43406</v>
      </c>
      <c r="D43" s="8" t="s">
        <v>15</v>
      </c>
      <c r="E43" t="s">
        <v>11</v>
      </c>
      <c r="F43" s="7">
        <v>6</v>
      </c>
      <c r="G43" s="7">
        <v>599</v>
      </c>
      <c r="H43" s="7">
        <v>119.80000000000001</v>
      </c>
      <c r="I43" s="7">
        <v>3474.2</v>
      </c>
    </row>
    <row r="44" spans="2:9" x14ac:dyDescent="0.3">
      <c r="B44">
        <v>1104015</v>
      </c>
      <c r="C44" s="8">
        <v>43424</v>
      </c>
      <c r="D44" s="8" t="s">
        <v>10</v>
      </c>
      <c r="E44" t="s">
        <v>9</v>
      </c>
      <c r="F44" s="7">
        <v>1</v>
      </c>
      <c r="G44" s="7">
        <v>37.99</v>
      </c>
      <c r="H44" s="7">
        <v>0</v>
      </c>
      <c r="I44" s="7">
        <v>37.99</v>
      </c>
    </row>
    <row r="45" spans="2:9" x14ac:dyDescent="0.3">
      <c r="B45">
        <v>1104089</v>
      </c>
      <c r="C45" s="8">
        <v>43438</v>
      </c>
      <c r="D45" s="8" t="s">
        <v>15</v>
      </c>
      <c r="E45" t="s">
        <v>9</v>
      </c>
      <c r="F45" s="7">
        <v>1</v>
      </c>
      <c r="G45" s="7">
        <v>599</v>
      </c>
      <c r="H45" s="7">
        <v>0</v>
      </c>
      <c r="I45" s="7">
        <v>599</v>
      </c>
    </row>
    <row r="46" spans="2:9" x14ac:dyDescent="0.3">
      <c r="B46">
        <v>1104242</v>
      </c>
      <c r="C46" s="8">
        <v>43457</v>
      </c>
      <c r="D46" s="8" t="s">
        <v>17</v>
      </c>
      <c r="E46" t="s">
        <v>9</v>
      </c>
      <c r="F46" s="7">
        <v>1</v>
      </c>
      <c r="G46" s="7">
        <v>222</v>
      </c>
      <c r="H46" s="7">
        <v>0</v>
      </c>
      <c r="I46" s="7">
        <v>222</v>
      </c>
    </row>
    <row r="47" spans="2:9" x14ac:dyDescent="0.3">
      <c r="B47">
        <v>1104323</v>
      </c>
      <c r="C47" s="8">
        <v>43467</v>
      </c>
      <c r="D47" s="8" t="s">
        <v>13</v>
      </c>
      <c r="E47" t="s">
        <v>11</v>
      </c>
      <c r="F47" s="7">
        <v>5</v>
      </c>
      <c r="G47" s="7">
        <v>499</v>
      </c>
      <c r="H47" s="7">
        <v>99.800000000000011</v>
      </c>
      <c r="I47" s="7">
        <v>2395.1999999999998</v>
      </c>
    </row>
    <row r="48" spans="2:9" x14ac:dyDescent="0.3">
      <c r="B48">
        <v>1104380</v>
      </c>
      <c r="C48" s="8">
        <v>43476</v>
      </c>
      <c r="D48" s="8" t="s">
        <v>12</v>
      </c>
      <c r="E48" t="s">
        <v>11</v>
      </c>
      <c r="F48" s="7">
        <v>8</v>
      </c>
      <c r="G48" s="7">
        <v>4.99</v>
      </c>
      <c r="H48" s="7">
        <v>0.99800000000000011</v>
      </c>
      <c r="I48" s="7">
        <v>38.922000000000004</v>
      </c>
    </row>
    <row r="49" spans="2:9" x14ac:dyDescent="0.3">
      <c r="B49">
        <v>1104420</v>
      </c>
      <c r="C49" s="8">
        <v>43484</v>
      </c>
      <c r="D49" s="8" t="s">
        <v>14</v>
      </c>
      <c r="E49" t="s">
        <v>9</v>
      </c>
      <c r="F49" s="7">
        <v>4</v>
      </c>
      <c r="G49" s="7">
        <v>19.989999999999998</v>
      </c>
      <c r="H49" s="7">
        <v>0</v>
      </c>
      <c r="I49" s="7">
        <v>79.959999999999994</v>
      </c>
    </row>
    <row r="50" spans="2:9" x14ac:dyDescent="0.3">
      <c r="B50">
        <v>1104433</v>
      </c>
      <c r="C50" s="8">
        <v>43486</v>
      </c>
      <c r="D50" s="8" t="s">
        <v>14</v>
      </c>
      <c r="E50" t="s">
        <v>9</v>
      </c>
      <c r="F50" s="7">
        <v>1</v>
      </c>
      <c r="G50" s="7">
        <v>24.99</v>
      </c>
      <c r="H50" s="7">
        <v>0</v>
      </c>
      <c r="I50" s="7">
        <v>24.99</v>
      </c>
    </row>
    <row r="51" spans="2:9" x14ac:dyDescent="0.3">
      <c r="B51">
        <v>1104457</v>
      </c>
      <c r="C51" s="8">
        <v>43491</v>
      </c>
      <c r="D51" s="8" t="s">
        <v>10</v>
      </c>
      <c r="E51" t="s">
        <v>9</v>
      </c>
      <c r="F51" s="7">
        <v>1</v>
      </c>
      <c r="G51" s="7">
        <v>49</v>
      </c>
      <c r="H51" s="7">
        <v>0</v>
      </c>
      <c r="I51" s="7">
        <v>49</v>
      </c>
    </row>
    <row r="52" spans="2:9" x14ac:dyDescent="0.3">
      <c r="B52">
        <v>1104578</v>
      </c>
      <c r="C52" s="8">
        <v>43512</v>
      </c>
      <c r="D52" s="8" t="s">
        <v>17</v>
      </c>
      <c r="E52" t="s">
        <v>11</v>
      </c>
      <c r="F52" s="7">
        <v>8</v>
      </c>
      <c r="G52" s="7">
        <v>225</v>
      </c>
      <c r="H52" s="7">
        <v>45</v>
      </c>
      <c r="I52" s="7">
        <v>1755</v>
      </c>
    </row>
    <row r="53" spans="2:9" x14ac:dyDescent="0.3">
      <c r="B53">
        <v>1104768</v>
      </c>
      <c r="C53" s="8">
        <v>43537</v>
      </c>
      <c r="D53" s="8" t="s">
        <v>16</v>
      </c>
      <c r="E53" t="s">
        <v>9</v>
      </c>
      <c r="F53" s="7">
        <v>1</v>
      </c>
      <c r="G53" s="7">
        <v>179</v>
      </c>
      <c r="H53" s="7">
        <v>0</v>
      </c>
      <c r="I53" s="7">
        <v>179</v>
      </c>
    </row>
    <row r="54" spans="2:9" x14ac:dyDescent="0.3">
      <c r="B54">
        <v>1104819</v>
      </c>
      <c r="C54" s="8">
        <v>43544</v>
      </c>
      <c r="D54" s="8" t="s">
        <v>14</v>
      </c>
      <c r="E54" t="s">
        <v>11</v>
      </c>
      <c r="F54" s="7">
        <v>7</v>
      </c>
      <c r="G54" s="7">
        <v>17.5</v>
      </c>
      <c r="H54" s="7">
        <v>3.5</v>
      </c>
      <c r="I54" s="7">
        <v>119</v>
      </c>
    </row>
    <row r="55" spans="2:9" x14ac:dyDescent="0.3">
      <c r="B55">
        <v>1104837</v>
      </c>
      <c r="C55" s="8">
        <v>43547</v>
      </c>
      <c r="D55" s="8" t="s">
        <v>16</v>
      </c>
      <c r="E55" t="s">
        <v>11</v>
      </c>
      <c r="F55" s="7">
        <v>13</v>
      </c>
      <c r="G55" s="7">
        <v>89</v>
      </c>
      <c r="H55" s="7">
        <v>17.8</v>
      </c>
      <c r="I55" s="7">
        <v>1139.2</v>
      </c>
    </row>
    <row r="56" spans="2:9" x14ac:dyDescent="0.3">
      <c r="B56">
        <v>1104910</v>
      </c>
      <c r="C56" s="8">
        <v>43557</v>
      </c>
      <c r="D56" s="8" t="s">
        <v>13</v>
      </c>
      <c r="E56" t="s">
        <v>11</v>
      </c>
      <c r="F56" s="7">
        <v>93</v>
      </c>
      <c r="G56" s="7">
        <v>455</v>
      </c>
      <c r="H56" s="7">
        <v>91</v>
      </c>
      <c r="I56" s="7">
        <v>42224</v>
      </c>
    </row>
    <row r="57" spans="2:9" x14ac:dyDescent="0.3">
      <c r="B57">
        <v>1104934</v>
      </c>
      <c r="C57" s="8">
        <v>43560</v>
      </c>
      <c r="D57" s="8" t="s">
        <v>13</v>
      </c>
      <c r="E57" t="s">
        <v>9</v>
      </c>
      <c r="F57" s="7">
        <v>1</v>
      </c>
      <c r="G57" s="7">
        <v>395</v>
      </c>
      <c r="H57" s="7">
        <v>0</v>
      </c>
      <c r="I57" s="7">
        <v>395</v>
      </c>
    </row>
    <row r="58" spans="2:9" x14ac:dyDescent="0.3">
      <c r="B58">
        <v>1105086</v>
      </c>
      <c r="C58" s="8">
        <v>43582</v>
      </c>
      <c r="D58" s="8" t="s">
        <v>12</v>
      </c>
      <c r="E58" t="s">
        <v>11</v>
      </c>
      <c r="F58" s="7">
        <v>9</v>
      </c>
      <c r="G58" s="7">
        <v>4.99</v>
      </c>
      <c r="H58" s="7">
        <v>0.99800000000000011</v>
      </c>
      <c r="I58" s="7">
        <v>43.912000000000006</v>
      </c>
    </row>
    <row r="59" spans="2:9" x14ac:dyDescent="0.3">
      <c r="B59">
        <v>1105153</v>
      </c>
      <c r="C59" s="8">
        <v>43593</v>
      </c>
      <c r="D59" s="8" t="s">
        <v>15</v>
      </c>
      <c r="E59" t="s">
        <v>11</v>
      </c>
      <c r="F59" s="7">
        <v>40</v>
      </c>
      <c r="G59" s="7">
        <v>883</v>
      </c>
      <c r="H59" s="7">
        <v>176.60000000000002</v>
      </c>
      <c r="I59" s="7">
        <v>35143.4</v>
      </c>
    </row>
    <row r="60" spans="2:9" x14ac:dyDescent="0.3">
      <c r="B60">
        <v>1105307</v>
      </c>
      <c r="C60" s="8">
        <v>43616</v>
      </c>
      <c r="D60" s="8" t="s">
        <v>14</v>
      </c>
      <c r="E60" t="s">
        <v>11</v>
      </c>
      <c r="F60" s="7">
        <v>5</v>
      </c>
      <c r="G60" s="7">
        <v>12.99</v>
      </c>
      <c r="H60" s="7">
        <v>2.5980000000000003</v>
      </c>
      <c r="I60" s="7">
        <v>62.352000000000004</v>
      </c>
    </row>
    <row r="61" spans="2:9" x14ac:dyDescent="0.3">
      <c r="B61">
        <v>1105330</v>
      </c>
      <c r="C61" s="8">
        <v>43619</v>
      </c>
      <c r="D61" s="8" t="s">
        <v>14</v>
      </c>
      <c r="E61" t="s">
        <v>9</v>
      </c>
      <c r="F61" s="7">
        <v>1</v>
      </c>
      <c r="G61" s="7">
        <v>24.99</v>
      </c>
      <c r="H61" s="7">
        <v>0</v>
      </c>
      <c r="I61" s="7">
        <v>24.99</v>
      </c>
    </row>
    <row r="62" spans="2:9" x14ac:dyDescent="0.3">
      <c r="B62">
        <v>1105362</v>
      </c>
      <c r="C62" s="8">
        <v>43624</v>
      </c>
      <c r="D62" s="8" t="s">
        <v>14</v>
      </c>
      <c r="E62" t="s">
        <v>9</v>
      </c>
      <c r="F62" s="7">
        <v>1</v>
      </c>
      <c r="G62" s="7">
        <v>24.95</v>
      </c>
      <c r="H62" s="7">
        <v>0</v>
      </c>
      <c r="I62" s="7">
        <v>24.95</v>
      </c>
    </row>
    <row r="63" spans="2:9" x14ac:dyDescent="0.3">
      <c r="B63">
        <v>1105372</v>
      </c>
      <c r="C63" s="8">
        <v>43625</v>
      </c>
      <c r="D63" s="8" t="s">
        <v>12</v>
      </c>
      <c r="E63" t="s">
        <v>9</v>
      </c>
      <c r="F63" s="7">
        <v>1</v>
      </c>
      <c r="G63" s="7">
        <v>12</v>
      </c>
      <c r="H63" s="7">
        <v>0</v>
      </c>
      <c r="I63" s="7">
        <v>12</v>
      </c>
    </row>
    <row r="64" spans="2:9" x14ac:dyDescent="0.3">
      <c r="B64">
        <v>1105403</v>
      </c>
      <c r="C64" s="8">
        <v>43629</v>
      </c>
      <c r="D64" s="8" t="s">
        <v>12</v>
      </c>
      <c r="E64" t="s">
        <v>11</v>
      </c>
      <c r="F64" s="7">
        <v>5</v>
      </c>
      <c r="G64" s="7">
        <v>8.99</v>
      </c>
      <c r="H64" s="7">
        <v>1.798</v>
      </c>
      <c r="I64" s="7">
        <v>43.152000000000001</v>
      </c>
    </row>
    <row r="65" spans="2:9" x14ac:dyDescent="0.3">
      <c r="B65">
        <v>1105409</v>
      </c>
      <c r="C65" s="8">
        <v>43630</v>
      </c>
      <c r="D65" s="8" t="s">
        <v>10</v>
      </c>
      <c r="E65" t="s">
        <v>9</v>
      </c>
      <c r="F65" s="7">
        <v>1</v>
      </c>
      <c r="G65" s="7">
        <v>36.99</v>
      </c>
      <c r="H65" s="7">
        <v>0</v>
      </c>
      <c r="I65" s="7">
        <v>36.99</v>
      </c>
    </row>
    <row r="66" spans="2:9" x14ac:dyDescent="0.3">
      <c r="B66">
        <v>1105415</v>
      </c>
      <c r="C66" s="8">
        <v>43631</v>
      </c>
      <c r="D66" s="8" t="s">
        <v>12</v>
      </c>
      <c r="E66" t="s">
        <v>11</v>
      </c>
      <c r="F66" s="7">
        <v>8</v>
      </c>
      <c r="G66" s="7">
        <v>9.99</v>
      </c>
      <c r="H66" s="7">
        <v>1.9980000000000002</v>
      </c>
      <c r="I66" s="7">
        <v>77.921999999999997</v>
      </c>
    </row>
    <row r="67" spans="2:9" x14ac:dyDescent="0.3">
      <c r="B67">
        <v>1105534</v>
      </c>
      <c r="C67" s="8">
        <v>43649</v>
      </c>
      <c r="D67" s="8" t="s">
        <v>10</v>
      </c>
      <c r="E67" t="s">
        <v>11</v>
      </c>
      <c r="F67" s="7">
        <v>8</v>
      </c>
      <c r="G67" s="7">
        <v>37.99</v>
      </c>
      <c r="H67" s="7">
        <v>7.5980000000000008</v>
      </c>
      <c r="I67" s="7">
        <v>296.322</v>
      </c>
    </row>
    <row r="68" spans="2:9" x14ac:dyDescent="0.3">
      <c r="B68">
        <v>1105626</v>
      </c>
      <c r="C68" s="8">
        <v>43663</v>
      </c>
      <c r="D68" s="8" t="s">
        <v>10</v>
      </c>
      <c r="E68" t="s">
        <v>11</v>
      </c>
      <c r="F68" s="7">
        <v>5</v>
      </c>
      <c r="G68" s="7">
        <v>42.99</v>
      </c>
      <c r="H68" s="7">
        <v>8.5980000000000008</v>
      </c>
      <c r="I68" s="7">
        <v>206.352</v>
      </c>
    </row>
    <row r="69" spans="2:9" x14ac:dyDescent="0.3">
      <c r="B69">
        <v>1105640</v>
      </c>
      <c r="C69" s="8">
        <v>43665</v>
      </c>
      <c r="D69" s="8" t="s">
        <v>16</v>
      </c>
      <c r="E69" t="s">
        <v>11</v>
      </c>
      <c r="F69" s="7">
        <v>12</v>
      </c>
      <c r="G69" s="7">
        <v>89</v>
      </c>
      <c r="H69" s="7">
        <v>17.8</v>
      </c>
      <c r="I69" s="7">
        <v>1050.2</v>
      </c>
    </row>
    <row r="70" spans="2:9" x14ac:dyDescent="0.3">
      <c r="B70">
        <v>1105701</v>
      </c>
      <c r="C70" s="8">
        <v>43676</v>
      </c>
      <c r="D70" s="8" t="s">
        <v>14</v>
      </c>
      <c r="E70" t="s">
        <v>11</v>
      </c>
      <c r="F70" s="7">
        <v>11</v>
      </c>
      <c r="G70" s="7">
        <v>20.95</v>
      </c>
      <c r="H70" s="7">
        <v>4.1900000000000004</v>
      </c>
      <c r="I70" s="7">
        <v>226.26</v>
      </c>
    </row>
    <row r="71" spans="2:9" x14ac:dyDescent="0.3">
      <c r="B71">
        <v>1105770</v>
      </c>
      <c r="C71" s="8">
        <v>43686</v>
      </c>
      <c r="D71" s="8" t="s">
        <v>13</v>
      </c>
      <c r="E71" t="s">
        <v>11</v>
      </c>
      <c r="F71" s="7">
        <v>65</v>
      </c>
      <c r="G71" s="7">
        <v>250</v>
      </c>
      <c r="H71" s="7">
        <v>50</v>
      </c>
      <c r="I71" s="7">
        <v>16200</v>
      </c>
    </row>
    <row r="72" spans="2:9" x14ac:dyDescent="0.3">
      <c r="B72">
        <v>1105783</v>
      </c>
      <c r="C72" s="8">
        <v>43688</v>
      </c>
      <c r="D72" s="8" t="s">
        <v>12</v>
      </c>
      <c r="E72" t="s">
        <v>11</v>
      </c>
      <c r="F72" s="7">
        <v>101</v>
      </c>
      <c r="G72" s="7">
        <v>10.99</v>
      </c>
      <c r="H72" s="7">
        <v>2.198</v>
      </c>
      <c r="I72" s="7">
        <v>1107.7919999999999</v>
      </c>
    </row>
    <row r="73" spans="2:9" x14ac:dyDescent="0.3">
      <c r="B73">
        <v>1105866</v>
      </c>
      <c r="C73" s="8">
        <v>43700</v>
      </c>
      <c r="D73" s="8" t="s">
        <v>12</v>
      </c>
      <c r="E73" t="s">
        <v>9</v>
      </c>
      <c r="F73" s="7">
        <v>1</v>
      </c>
      <c r="G73" s="7">
        <v>4.99</v>
      </c>
      <c r="H73" s="7">
        <v>0</v>
      </c>
      <c r="I73" s="7">
        <v>4.99</v>
      </c>
    </row>
    <row r="74" spans="2:9" x14ac:dyDescent="0.3">
      <c r="B74">
        <v>1105890</v>
      </c>
      <c r="C74" s="8">
        <v>43704</v>
      </c>
      <c r="D74" s="8" t="s">
        <v>12</v>
      </c>
      <c r="E74" t="s">
        <v>11</v>
      </c>
      <c r="F74" s="7">
        <v>10</v>
      </c>
      <c r="G74" s="7">
        <v>11.99</v>
      </c>
      <c r="H74" s="7">
        <v>2.3980000000000001</v>
      </c>
      <c r="I74" s="7">
        <v>117.50200000000001</v>
      </c>
    </row>
    <row r="75" spans="2:9" x14ac:dyDescent="0.3">
      <c r="B75">
        <v>1100988</v>
      </c>
      <c r="C75" s="8">
        <v>42987</v>
      </c>
      <c r="D75" s="8" t="s">
        <v>14</v>
      </c>
      <c r="E75" t="s">
        <v>11</v>
      </c>
      <c r="F75" s="7">
        <v>11</v>
      </c>
      <c r="G75" s="7">
        <v>19.989999999999998</v>
      </c>
      <c r="H75" s="7">
        <v>3.9979999999999998</v>
      </c>
      <c r="I75" s="7">
        <v>215.892</v>
      </c>
    </row>
    <row r="76" spans="2:9" x14ac:dyDescent="0.3">
      <c r="B76">
        <v>1100994</v>
      </c>
      <c r="C76" s="8">
        <v>42988</v>
      </c>
      <c r="D76" s="8" t="s">
        <v>13</v>
      </c>
      <c r="E76" t="s">
        <v>11</v>
      </c>
      <c r="F76" s="7">
        <v>8</v>
      </c>
      <c r="G76" s="7">
        <v>450</v>
      </c>
      <c r="H76" s="7">
        <v>90</v>
      </c>
      <c r="I76" s="7">
        <v>3510</v>
      </c>
    </row>
    <row r="77" spans="2:9" x14ac:dyDescent="0.3">
      <c r="B77">
        <v>1101070</v>
      </c>
      <c r="C77" s="8">
        <v>42998</v>
      </c>
      <c r="D77" s="8" t="s">
        <v>12</v>
      </c>
      <c r="E77" t="s">
        <v>11</v>
      </c>
      <c r="F77" s="7">
        <v>8</v>
      </c>
      <c r="G77" s="7">
        <v>7.99</v>
      </c>
      <c r="H77" s="7">
        <v>1.5980000000000001</v>
      </c>
      <c r="I77" s="7">
        <v>62.322000000000003</v>
      </c>
    </row>
    <row r="78" spans="2:9" x14ac:dyDescent="0.3">
      <c r="B78">
        <v>1101101</v>
      </c>
      <c r="C78" s="8">
        <v>43003</v>
      </c>
      <c r="D78" s="8" t="s">
        <v>10</v>
      </c>
      <c r="E78" t="s">
        <v>11</v>
      </c>
      <c r="F78" s="7">
        <v>10</v>
      </c>
      <c r="G78" s="7">
        <v>42.99</v>
      </c>
      <c r="H78" s="7">
        <v>8.5980000000000008</v>
      </c>
      <c r="I78" s="7">
        <v>421.30200000000002</v>
      </c>
    </row>
    <row r="79" spans="2:9" x14ac:dyDescent="0.3">
      <c r="B79">
        <v>1101167</v>
      </c>
      <c r="C79" s="8">
        <v>43013</v>
      </c>
      <c r="D79" s="8" t="s">
        <v>14</v>
      </c>
      <c r="E79" t="s">
        <v>9</v>
      </c>
      <c r="F79" s="7">
        <v>1</v>
      </c>
      <c r="G79" s="7">
        <v>24.95</v>
      </c>
      <c r="H79" s="7">
        <v>0</v>
      </c>
      <c r="I79" s="7">
        <v>24.95</v>
      </c>
    </row>
    <row r="80" spans="2:9" x14ac:dyDescent="0.3">
      <c r="B80">
        <v>1101311</v>
      </c>
      <c r="C80" s="8">
        <v>43033</v>
      </c>
      <c r="D80" s="8" t="s">
        <v>15</v>
      </c>
      <c r="E80" t="s">
        <v>11</v>
      </c>
      <c r="F80" s="7">
        <v>8</v>
      </c>
      <c r="G80" s="7">
        <v>699</v>
      </c>
      <c r="H80" s="7">
        <v>139.80000000000001</v>
      </c>
      <c r="I80" s="7">
        <v>5452.2</v>
      </c>
    </row>
    <row r="81" spans="2:9" x14ac:dyDescent="0.3">
      <c r="B81">
        <v>1101388</v>
      </c>
      <c r="C81" s="8">
        <v>43043</v>
      </c>
      <c r="D81" s="8" t="s">
        <v>14</v>
      </c>
      <c r="E81" t="s">
        <v>9</v>
      </c>
      <c r="F81" s="7">
        <v>1</v>
      </c>
      <c r="G81" s="7">
        <v>23.99</v>
      </c>
      <c r="H81" s="7">
        <v>0</v>
      </c>
      <c r="I81" s="7">
        <v>23.99</v>
      </c>
    </row>
    <row r="82" spans="2:9" x14ac:dyDescent="0.3">
      <c r="B82">
        <v>1101575</v>
      </c>
      <c r="C82" s="8">
        <v>43072</v>
      </c>
      <c r="D82" s="8" t="s">
        <v>12</v>
      </c>
      <c r="E82" t="s">
        <v>11</v>
      </c>
      <c r="F82" s="7">
        <v>6</v>
      </c>
      <c r="G82" s="7">
        <v>10.99</v>
      </c>
      <c r="H82" s="7">
        <v>2.198</v>
      </c>
      <c r="I82" s="7">
        <v>63.741999999999997</v>
      </c>
    </row>
    <row r="83" spans="2:9" x14ac:dyDescent="0.3">
      <c r="B83">
        <v>1101622</v>
      </c>
      <c r="C83" s="8">
        <v>43077</v>
      </c>
      <c r="D83" s="8" t="s">
        <v>17</v>
      </c>
      <c r="E83" t="s">
        <v>11</v>
      </c>
      <c r="F83" s="7">
        <v>60</v>
      </c>
      <c r="G83" s="7">
        <v>214</v>
      </c>
      <c r="H83" s="7">
        <v>42.800000000000004</v>
      </c>
      <c r="I83" s="7">
        <v>12797.2</v>
      </c>
    </row>
    <row r="84" spans="2:9" x14ac:dyDescent="0.3">
      <c r="B84">
        <v>1101697</v>
      </c>
      <c r="C84" s="8">
        <v>43090</v>
      </c>
      <c r="D84" s="8" t="s">
        <v>14</v>
      </c>
      <c r="E84" t="s">
        <v>9</v>
      </c>
      <c r="F84" s="7">
        <v>1</v>
      </c>
      <c r="G84" s="7">
        <v>24.99</v>
      </c>
      <c r="H84" s="7">
        <v>0</v>
      </c>
      <c r="I84" s="7">
        <v>24.99</v>
      </c>
    </row>
    <row r="85" spans="2:9" x14ac:dyDescent="0.3">
      <c r="B85">
        <v>1101798</v>
      </c>
      <c r="C85" s="8">
        <v>43104</v>
      </c>
      <c r="D85" s="8" t="s">
        <v>14</v>
      </c>
      <c r="E85" t="s">
        <v>11</v>
      </c>
      <c r="F85" s="7">
        <v>11</v>
      </c>
      <c r="G85" s="7">
        <v>19.5</v>
      </c>
      <c r="H85" s="7">
        <v>3.9000000000000004</v>
      </c>
      <c r="I85" s="7">
        <v>210.6</v>
      </c>
    </row>
    <row r="86" spans="2:9" x14ac:dyDescent="0.3">
      <c r="B86">
        <v>1101932</v>
      </c>
      <c r="C86" s="8">
        <v>43123</v>
      </c>
      <c r="D86" s="8" t="s">
        <v>17</v>
      </c>
      <c r="E86" t="s">
        <v>11</v>
      </c>
      <c r="F86" s="7">
        <v>10</v>
      </c>
      <c r="G86" s="7">
        <v>190</v>
      </c>
      <c r="H86" s="7">
        <v>38</v>
      </c>
      <c r="I86" s="7">
        <v>1862</v>
      </c>
    </row>
    <row r="87" spans="2:9" x14ac:dyDescent="0.3">
      <c r="B87">
        <v>1102041</v>
      </c>
      <c r="C87" s="8">
        <v>43141</v>
      </c>
      <c r="D87" s="8" t="s">
        <v>16</v>
      </c>
      <c r="E87" t="s">
        <v>11</v>
      </c>
      <c r="F87" s="7">
        <v>8</v>
      </c>
      <c r="G87" s="7">
        <v>179</v>
      </c>
      <c r="H87" s="7">
        <v>35.800000000000004</v>
      </c>
      <c r="I87" s="7">
        <v>1396.2</v>
      </c>
    </row>
    <row r="88" spans="2:9" x14ac:dyDescent="0.3">
      <c r="B88">
        <v>1102152</v>
      </c>
      <c r="C88" s="8">
        <v>43159</v>
      </c>
      <c r="D88" s="8" t="s">
        <v>17</v>
      </c>
      <c r="E88" t="s">
        <v>9</v>
      </c>
      <c r="F88" s="7">
        <v>2</v>
      </c>
      <c r="G88" s="7">
        <v>225</v>
      </c>
      <c r="H88" s="7">
        <v>0</v>
      </c>
      <c r="I88" s="7">
        <v>450</v>
      </c>
    </row>
    <row r="89" spans="2:9" x14ac:dyDescent="0.3">
      <c r="B89">
        <v>1102188</v>
      </c>
      <c r="C89" s="8">
        <v>43164</v>
      </c>
      <c r="D89" s="8" t="s">
        <v>10</v>
      </c>
      <c r="E89" t="s">
        <v>11</v>
      </c>
      <c r="F89" s="7">
        <v>10</v>
      </c>
      <c r="G89" s="7">
        <v>29.99</v>
      </c>
      <c r="H89" s="7">
        <v>5.9980000000000002</v>
      </c>
      <c r="I89" s="7">
        <v>293.90199999999999</v>
      </c>
    </row>
    <row r="90" spans="2:9" x14ac:dyDescent="0.3">
      <c r="B90">
        <v>1102216</v>
      </c>
      <c r="C90" s="8">
        <v>43168</v>
      </c>
      <c r="D90" s="8" t="s">
        <v>17</v>
      </c>
      <c r="E90" t="s">
        <v>9</v>
      </c>
      <c r="F90" s="7">
        <v>2</v>
      </c>
      <c r="G90" s="7">
        <v>189</v>
      </c>
      <c r="H90" s="7">
        <v>0</v>
      </c>
      <c r="I90" s="7">
        <v>378</v>
      </c>
    </row>
    <row r="91" spans="2:9" x14ac:dyDescent="0.3">
      <c r="B91">
        <v>1102238</v>
      </c>
      <c r="C91" s="8">
        <v>43170</v>
      </c>
      <c r="D91" s="8" t="s">
        <v>12</v>
      </c>
      <c r="E91" t="s">
        <v>9</v>
      </c>
      <c r="F91" s="7">
        <v>1</v>
      </c>
      <c r="G91" s="7">
        <v>7.99</v>
      </c>
      <c r="H91" s="7">
        <v>0</v>
      </c>
      <c r="I91" s="7">
        <v>7.99</v>
      </c>
    </row>
    <row r="92" spans="2:9" x14ac:dyDescent="0.3">
      <c r="B92">
        <v>1102313</v>
      </c>
      <c r="C92" s="8">
        <v>43181</v>
      </c>
      <c r="D92" s="8" t="s">
        <v>16</v>
      </c>
      <c r="E92" t="s">
        <v>11</v>
      </c>
      <c r="F92" s="7">
        <v>8</v>
      </c>
      <c r="G92" s="7">
        <v>69</v>
      </c>
      <c r="H92" s="7">
        <v>13.8</v>
      </c>
      <c r="I92" s="7">
        <v>538.20000000000005</v>
      </c>
    </row>
    <row r="93" spans="2:9" x14ac:dyDescent="0.3">
      <c r="B93">
        <v>1102437</v>
      </c>
      <c r="C93" s="8">
        <v>43201</v>
      </c>
      <c r="D93" s="8" t="s">
        <v>15</v>
      </c>
      <c r="E93" t="s">
        <v>9</v>
      </c>
      <c r="F93" s="7">
        <v>1</v>
      </c>
      <c r="G93" s="7">
        <v>899</v>
      </c>
      <c r="H93" s="7">
        <v>0</v>
      </c>
      <c r="I93" s="7">
        <v>899</v>
      </c>
    </row>
    <row r="94" spans="2:9" x14ac:dyDescent="0.3">
      <c r="B94">
        <v>1102460</v>
      </c>
      <c r="C94" s="8">
        <v>43204</v>
      </c>
      <c r="D94" s="8" t="s">
        <v>10</v>
      </c>
      <c r="E94" t="s">
        <v>11</v>
      </c>
      <c r="F94" s="7">
        <v>9</v>
      </c>
      <c r="G94" s="7">
        <v>44.95</v>
      </c>
      <c r="H94" s="7">
        <v>8.99</v>
      </c>
      <c r="I94" s="7">
        <v>395.56</v>
      </c>
    </row>
    <row r="95" spans="2:9" x14ac:dyDescent="0.3">
      <c r="B95">
        <v>1102589</v>
      </c>
      <c r="C95" s="8">
        <v>43224</v>
      </c>
      <c r="D95" s="8" t="s">
        <v>10</v>
      </c>
      <c r="E95" t="s">
        <v>11</v>
      </c>
      <c r="F95" s="7">
        <v>7</v>
      </c>
      <c r="G95" s="7">
        <v>37.99</v>
      </c>
      <c r="H95" s="7">
        <v>7.5980000000000008</v>
      </c>
      <c r="I95" s="7">
        <v>258.33199999999999</v>
      </c>
    </row>
    <row r="96" spans="2:9" x14ac:dyDescent="0.3">
      <c r="B96">
        <v>1102666</v>
      </c>
      <c r="C96" s="8">
        <v>43234</v>
      </c>
      <c r="D96" s="8" t="s">
        <v>12</v>
      </c>
      <c r="E96" t="s">
        <v>11</v>
      </c>
      <c r="F96" s="7">
        <v>6</v>
      </c>
      <c r="G96" s="7">
        <v>4.99</v>
      </c>
      <c r="H96" s="7">
        <v>0.99800000000000011</v>
      </c>
      <c r="I96" s="7">
        <v>28.942</v>
      </c>
    </row>
    <row r="97" spans="2:9" x14ac:dyDescent="0.3">
      <c r="B97">
        <v>1102698</v>
      </c>
      <c r="C97" s="8">
        <v>43238</v>
      </c>
      <c r="D97" s="8" t="s">
        <v>12</v>
      </c>
      <c r="E97" t="s">
        <v>11</v>
      </c>
      <c r="F97" s="7">
        <v>53</v>
      </c>
      <c r="G97" s="7">
        <v>8.99</v>
      </c>
      <c r="H97" s="7">
        <v>1.798</v>
      </c>
      <c r="I97" s="7">
        <v>474.67200000000003</v>
      </c>
    </row>
    <row r="98" spans="2:9" x14ac:dyDescent="0.3">
      <c r="B98">
        <v>1102692</v>
      </c>
      <c r="C98" s="8">
        <v>43238</v>
      </c>
      <c r="D98" s="8" t="s">
        <v>16</v>
      </c>
      <c r="E98" t="s">
        <v>9</v>
      </c>
      <c r="F98" s="7">
        <v>2</v>
      </c>
      <c r="G98" s="7">
        <v>167</v>
      </c>
      <c r="H98" s="7">
        <v>0</v>
      </c>
      <c r="I98" s="7">
        <v>334</v>
      </c>
    </row>
    <row r="99" spans="2:9" x14ac:dyDescent="0.3">
      <c r="B99">
        <v>1102713</v>
      </c>
      <c r="C99" s="8">
        <v>43241</v>
      </c>
      <c r="D99" s="8" t="s">
        <v>15</v>
      </c>
      <c r="E99" t="s">
        <v>9</v>
      </c>
      <c r="F99" s="7">
        <v>2</v>
      </c>
      <c r="G99" s="7">
        <v>899</v>
      </c>
      <c r="H99" s="7">
        <v>0</v>
      </c>
      <c r="I99" s="7">
        <v>1798</v>
      </c>
    </row>
    <row r="100" spans="2:9" x14ac:dyDescent="0.3">
      <c r="B100">
        <v>1102847</v>
      </c>
      <c r="C100" s="8">
        <v>43262</v>
      </c>
      <c r="D100" s="8" t="s">
        <v>12</v>
      </c>
      <c r="E100" t="s">
        <v>9</v>
      </c>
      <c r="F100" s="7">
        <v>1</v>
      </c>
      <c r="G100" s="7">
        <v>12</v>
      </c>
      <c r="H100" s="7">
        <v>0</v>
      </c>
      <c r="I100" s="7">
        <v>12</v>
      </c>
    </row>
    <row r="101" spans="2:9" x14ac:dyDescent="0.3">
      <c r="B101">
        <v>1102894</v>
      </c>
      <c r="C101" s="8">
        <v>43268</v>
      </c>
      <c r="D101" s="8" t="s">
        <v>14</v>
      </c>
      <c r="E101" t="s">
        <v>9</v>
      </c>
      <c r="F101" s="7">
        <v>1</v>
      </c>
      <c r="G101" s="7">
        <v>23.99</v>
      </c>
      <c r="H101" s="7">
        <v>0</v>
      </c>
      <c r="I101" s="7">
        <v>23.99</v>
      </c>
    </row>
    <row r="102" spans="2:9" x14ac:dyDescent="0.3">
      <c r="B102">
        <v>1102902</v>
      </c>
      <c r="C102" s="8">
        <v>43268</v>
      </c>
      <c r="D102" s="8" t="s">
        <v>14</v>
      </c>
      <c r="E102" t="s">
        <v>11</v>
      </c>
      <c r="F102" s="7">
        <v>11</v>
      </c>
      <c r="G102" s="7">
        <v>13.99</v>
      </c>
      <c r="H102" s="7">
        <v>2.798</v>
      </c>
      <c r="I102" s="7">
        <v>151.09200000000001</v>
      </c>
    </row>
    <row r="103" spans="2:9" x14ac:dyDescent="0.3">
      <c r="B103">
        <v>1103033</v>
      </c>
      <c r="C103" s="8">
        <v>43285</v>
      </c>
      <c r="D103" s="8" t="s">
        <v>10</v>
      </c>
      <c r="E103" t="s">
        <v>11</v>
      </c>
      <c r="F103" s="7">
        <v>5</v>
      </c>
      <c r="G103" s="7">
        <v>37.99</v>
      </c>
      <c r="H103" s="7">
        <v>7.5980000000000008</v>
      </c>
      <c r="I103" s="7">
        <v>182.352</v>
      </c>
    </row>
    <row r="104" spans="2:9" x14ac:dyDescent="0.3">
      <c r="B104">
        <v>1103106</v>
      </c>
      <c r="C104" s="8">
        <v>43294</v>
      </c>
      <c r="D104" s="8" t="s">
        <v>14</v>
      </c>
      <c r="E104" t="s">
        <v>11</v>
      </c>
      <c r="F104" s="7">
        <v>8</v>
      </c>
      <c r="G104" s="7">
        <v>13.99</v>
      </c>
      <c r="H104" s="7">
        <v>2.798</v>
      </c>
      <c r="I104" s="7">
        <v>109.122</v>
      </c>
    </row>
    <row r="105" spans="2:9" x14ac:dyDescent="0.3">
      <c r="B105">
        <v>1103128</v>
      </c>
      <c r="C105" s="8">
        <v>43297</v>
      </c>
      <c r="D105" s="8" t="s">
        <v>12</v>
      </c>
      <c r="E105" t="s">
        <v>9</v>
      </c>
      <c r="F105" s="7">
        <v>1</v>
      </c>
      <c r="G105" s="7">
        <v>11.99</v>
      </c>
      <c r="H105" s="7">
        <v>0</v>
      </c>
      <c r="I105" s="7">
        <v>11.99</v>
      </c>
    </row>
    <row r="106" spans="2:9" x14ac:dyDescent="0.3">
      <c r="B106">
        <v>1103158</v>
      </c>
      <c r="C106" s="8">
        <v>43300</v>
      </c>
      <c r="D106" s="8" t="s">
        <v>14</v>
      </c>
      <c r="E106" t="s">
        <v>11</v>
      </c>
      <c r="F106" s="7">
        <v>9</v>
      </c>
      <c r="G106" s="7">
        <v>15.5</v>
      </c>
      <c r="H106" s="7">
        <v>3.1</v>
      </c>
      <c r="I106" s="7">
        <v>136.4</v>
      </c>
    </row>
    <row r="107" spans="2:9" x14ac:dyDescent="0.3">
      <c r="B107">
        <v>1103237</v>
      </c>
      <c r="C107" s="8">
        <v>43310</v>
      </c>
      <c r="D107" s="8" t="s">
        <v>16</v>
      </c>
      <c r="E107" t="s">
        <v>9</v>
      </c>
      <c r="F107" s="7">
        <v>4</v>
      </c>
      <c r="G107" s="7">
        <v>58.95</v>
      </c>
      <c r="H107" s="7">
        <v>0</v>
      </c>
      <c r="I107" s="7">
        <v>235.8</v>
      </c>
    </row>
    <row r="108" spans="2:9" x14ac:dyDescent="0.3">
      <c r="B108">
        <v>1103427</v>
      </c>
      <c r="C108" s="8">
        <v>43336</v>
      </c>
      <c r="D108" s="8" t="s">
        <v>12</v>
      </c>
      <c r="E108" t="s">
        <v>9</v>
      </c>
      <c r="F108" s="7">
        <v>1</v>
      </c>
      <c r="G108" s="7">
        <v>4.99</v>
      </c>
      <c r="H108" s="7">
        <v>0</v>
      </c>
      <c r="I108" s="7">
        <v>4.99</v>
      </c>
    </row>
    <row r="109" spans="2:9" x14ac:dyDescent="0.3">
      <c r="B109">
        <v>1103506</v>
      </c>
      <c r="C109" s="8">
        <v>43347</v>
      </c>
      <c r="D109" s="8" t="s">
        <v>14</v>
      </c>
      <c r="E109" t="s">
        <v>11</v>
      </c>
      <c r="F109" s="7">
        <v>58</v>
      </c>
      <c r="G109" s="7">
        <v>23.99</v>
      </c>
      <c r="H109" s="7">
        <v>4.798</v>
      </c>
      <c r="I109" s="7">
        <v>1386.6219999999998</v>
      </c>
    </row>
    <row r="110" spans="2:9" x14ac:dyDescent="0.3">
      <c r="B110">
        <v>1103577</v>
      </c>
      <c r="C110" s="8">
        <v>43357</v>
      </c>
      <c r="D110" s="8" t="s">
        <v>14</v>
      </c>
      <c r="E110" t="s">
        <v>11</v>
      </c>
      <c r="F110" s="7">
        <v>36</v>
      </c>
      <c r="G110" s="7">
        <v>16.989999999999998</v>
      </c>
      <c r="H110" s="7">
        <v>3.3979999999999997</v>
      </c>
      <c r="I110" s="7">
        <v>608.24199999999996</v>
      </c>
    </row>
    <row r="111" spans="2:9" x14ac:dyDescent="0.3">
      <c r="B111">
        <v>1103610</v>
      </c>
      <c r="C111" s="8">
        <v>43363</v>
      </c>
      <c r="D111" s="8" t="s">
        <v>16</v>
      </c>
      <c r="E111" t="s">
        <v>11</v>
      </c>
      <c r="F111" s="7">
        <v>8</v>
      </c>
      <c r="G111" s="7">
        <v>69</v>
      </c>
      <c r="H111" s="7">
        <v>13.8</v>
      </c>
      <c r="I111" s="7">
        <v>538.20000000000005</v>
      </c>
    </row>
    <row r="112" spans="2:9" x14ac:dyDescent="0.3">
      <c r="B112">
        <v>1103717</v>
      </c>
      <c r="C112" s="8">
        <v>43378</v>
      </c>
      <c r="D112" s="8" t="s">
        <v>17</v>
      </c>
      <c r="E112" t="s">
        <v>9</v>
      </c>
      <c r="F112" s="7">
        <v>2</v>
      </c>
      <c r="G112" s="7">
        <v>189</v>
      </c>
      <c r="H112" s="7">
        <v>0</v>
      </c>
      <c r="I112" s="7">
        <v>378</v>
      </c>
    </row>
    <row r="113" spans="2:9" x14ac:dyDescent="0.3">
      <c r="B113">
        <v>1103744</v>
      </c>
      <c r="C113" s="8">
        <v>43384</v>
      </c>
      <c r="D113" s="8" t="s">
        <v>17</v>
      </c>
      <c r="E113" t="s">
        <v>9</v>
      </c>
      <c r="F113" s="7">
        <v>1</v>
      </c>
      <c r="G113" s="7">
        <v>189</v>
      </c>
      <c r="H113" s="7">
        <v>0</v>
      </c>
      <c r="I113" s="7">
        <v>189</v>
      </c>
    </row>
    <row r="114" spans="2:9" x14ac:dyDescent="0.3">
      <c r="B114">
        <v>1103774</v>
      </c>
      <c r="C114" s="8">
        <v>43388</v>
      </c>
      <c r="D114" s="8" t="s">
        <v>17</v>
      </c>
      <c r="E114" t="s">
        <v>11</v>
      </c>
      <c r="F114" s="7">
        <v>7</v>
      </c>
      <c r="G114" s="7">
        <v>225</v>
      </c>
      <c r="H114" s="7">
        <v>45</v>
      </c>
      <c r="I114" s="7">
        <v>1530</v>
      </c>
    </row>
    <row r="115" spans="2:9" x14ac:dyDescent="0.3">
      <c r="B115">
        <v>1103798</v>
      </c>
      <c r="C115" s="8">
        <v>43391</v>
      </c>
      <c r="D115" s="8" t="s">
        <v>14</v>
      </c>
      <c r="E115" t="s">
        <v>9</v>
      </c>
      <c r="F115" s="7">
        <v>1</v>
      </c>
      <c r="G115" s="7">
        <v>23.99</v>
      </c>
      <c r="H115" s="7">
        <v>0</v>
      </c>
      <c r="I115" s="7">
        <v>23.99</v>
      </c>
    </row>
    <row r="116" spans="2:9" x14ac:dyDescent="0.3">
      <c r="B116">
        <v>1103930</v>
      </c>
      <c r="C116" s="8">
        <v>43413</v>
      </c>
      <c r="D116" s="8" t="s">
        <v>10</v>
      </c>
      <c r="E116" t="s">
        <v>9</v>
      </c>
      <c r="F116" s="7">
        <v>1</v>
      </c>
      <c r="G116" s="7">
        <v>44.95</v>
      </c>
      <c r="H116" s="7">
        <v>0</v>
      </c>
      <c r="I116" s="7">
        <v>44.95</v>
      </c>
    </row>
    <row r="117" spans="2:9" x14ac:dyDescent="0.3">
      <c r="B117">
        <v>1104092</v>
      </c>
      <c r="C117" s="8">
        <v>43438</v>
      </c>
      <c r="D117" s="8" t="s">
        <v>10</v>
      </c>
      <c r="E117" t="s">
        <v>9</v>
      </c>
      <c r="F117" s="7">
        <v>1</v>
      </c>
      <c r="G117" s="7">
        <v>34.99</v>
      </c>
      <c r="H117" s="7">
        <v>0</v>
      </c>
      <c r="I117" s="7">
        <v>34.99</v>
      </c>
    </row>
    <row r="118" spans="2:9" x14ac:dyDescent="0.3">
      <c r="B118">
        <v>1104101</v>
      </c>
      <c r="C118" s="8">
        <v>43439</v>
      </c>
      <c r="D118" s="8" t="s">
        <v>17</v>
      </c>
      <c r="E118" t="s">
        <v>9</v>
      </c>
      <c r="F118" s="7">
        <v>1</v>
      </c>
      <c r="G118" s="7">
        <v>190</v>
      </c>
      <c r="H118" s="7">
        <v>0</v>
      </c>
      <c r="I118" s="7">
        <v>190</v>
      </c>
    </row>
    <row r="119" spans="2:9" x14ac:dyDescent="0.3">
      <c r="B119">
        <v>1104219</v>
      </c>
      <c r="C119" s="8">
        <v>43455</v>
      </c>
      <c r="D119" s="8" t="s">
        <v>14</v>
      </c>
      <c r="E119" t="s">
        <v>11</v>
      </c>
      <c r="F119" s="7">
        <v>12</v>
      </c>
      <c r="G119" s="7">
        <v>24.95</v>
      </c>
      <c r="H119" s="7">
        <v>4.99</v>
      </c>
      <c r="I119" s="7">
        <v>294.40999999999997</v>
      </c>
    </row>
    <row r="120" spans="2:9" x14ac:dyDescent="0.3">
      <c r="B120">
        <v>1104390</v>
      </c>
      <c r="C120" s="8">
        <v>43478</v>
      </c>
      <c r="D120" s="8" t="s">
        <v>14</v>
      </c>
      <c r="E120" t="s">
        <v>11</v>
      </c>
      <c r="F120" s="7">
        <v>7</v>
      </c>
      <c r="G120" s="7">
        <v>16.989999999999998</v>
      </c>
      <c r="H120" s="7">
        <v>3.3979999999999997</v>
      </c>
      <c r="I120" s="7">
        <v>115.532</v>
      </c>
    </row>
    <row r="121" spans="2:9" x14ac:dyDescent="0.3">
      <c r="B121">
        <v>1104495</v>
      </c>
      <c r="C121" s="8">
        <v>43498</v>
      </c>
      <c r="D121" s="8" t="s">
        <v>13</v>
      </c>
      <c r="E121" t="s">
        <v>9</v>
      </c>
      <c r="F121" s="7">
        <v>1</v>
      </c>
      <c r="G121" s="7">
        <v>455</v>
      </c>
      <c r="H121" s="7">
        <v>0</v>
      </c>
      <c r="I121" s="7">
        <v>455</v>
      </c>
    </row>
    <row r="122" spans="2:9" x14ac:dyDescent="0.3">
      <c r="B122">
        <v>1104553</v>
      </c>
      <c r="C122" s="8">
        <v>43508</v>
      </c>
      <c r="D122" s="8" t="s">
        <v>10</v>
      </c>
      <c r="E122" t="s">
        <v>9</v>
      </c>
      <c r="F122" s="7">
        <v>1</v>
      </c>
      <c r="G122" s="7">
        <v>49</v>
      </c>
      <c r="H122" s="7">
        <v>0</v>
      </c>
      <c r="I122" s="7">
        <v>49</v>
      </c>
    </row>
    <row r="123" spans="2:9" x14ac:dyDescent="0.3">
      <c r="B123">
        <v>1104570</v>
      </c>
      <c r="C123" s="8">
        <v>43510</v>
      </c>
      <c r="D123" s="8" t="s">
        <v>13</v>
      </c>
      <c r="E123" t="s">
        <v>9</v>
      </c>
      <c r="F123" s="7">
        <v>60</v>
      </c>
      <c r="G123" s="7">
        <v>450</v>
      </c>
      <c r="H123" s="7">
        <v>0</v>
      </c>
      <c r="I123" s="7">
        <v>27000</v>
      </c>
    </row>
    <row r="124" spans="2:9" x14ac:dyDescent="0.3">
      <c r="B124">
        <v>1104719</v>
      </c>
      <c r="C124" s="8">
        <v>43530</v>
      </c>
      <c r="D124" s="8" t="s">
        <v>10</v>
      </c>
      <c r="E124" t="s">
        <v>9</v>
      </c>
      <c r="F124" s="7">
        <v>1</v>
      </c>
      <c r="G124" s="7">
        <v>49</v>
      </c>
      <c r="H124" s="7">
        <v>0</v>
      </c>
      <c r="I124" s="7">
        <v>49</v>
      </c>
    </row>
    <row r="125" spans="2:9" x14ac:dyDescent="0.3">
      <c r="B125">
        <v>1104726</v>
      </c>
      <c r="C125" s="8">
        <v>43530</v>
      </c>
      <c r="D125" s="8" t="s">
        <v>10</v>
      </c>
      <c r="E125" t="s">
        <v>9</v>
      </c>
      <c r="F125" s="7">
        <v>1</v>
      </c>
      <c r="G125" s="7">
        <v>29.99</v>
      </c>
      <c r="H125" s="7">
        <v>0</v>
      </c>
      <c r="I125" s="7">
        <v>29.99</v>
      </c>
    </row>
    <row r="126" spans="2:9" x14ac:dyDescent="0.3">
      <c r="B126">
        <v>1104875</v>
      </c>
      <c r="C126" s="8">
        <v>43552</v>
      </c>
      <c r="D126" s="8" t="s">
        <v>15</v>
      </c>
      <c r="E126" t="s">
        <v>11</v>
      </c>
      <c r="F126" s="7">
        <v>4</v>
      </c>
      <c r="G126" s="7">
        <v>684</v>
      </c>
      <c r="H126" s="7">
        <v>136.80000000000001</v>
      </c>
      <c r="I126" s="7">
        <v>2599.1999999999998</v>
      </c>
    </row>
    <row r="127" spans="2:9" x14ac:dyDescent="0.3">
      <c r="B127">
        <v>1105041</v>
      </c>
      <c r="C127" s="8">
        <v>43575</v>
      </c>
      <c r="D127" s="8" t="s">
        <v>14</v>
      </c>
      <c r="E127" t="s">
        <v>9</v>
      </c>
      <c r="F127" s="7">
        <v>1</v>
      </c>
      <c r="G127" s="7">
        <v>23.99</v>
      </c>
      <c r="H127" s="7">
        <v>0</v>
      </c>
      <c r="I127" s="7">
        <v>23.99</v>
      </c>
    </row>
    <row r="128" spans="2:9" x14ac:dyDescent="0.3">
      <c r="B128">
        <v>1105218</v>
      </c>
      <c r="C128" s="8">
        <v>43604</v>
      </c>
      <c r="D128" s="8" t="s">
        <v>10</v>
      </c>
      <c r="E128" t="s">
        <v>9</v>
      </c>
      <c r="F128" s="7">
        <v>1</v>
      </c>
      <c r="G128" s="7">
        <v>28.99</v>
      </c>
      <c r="H128" s="7">
        <v>0</v>
      </c>
      <c r="I128" s="7">
        <v>28.99</v>
      </c>
    </row>
    <row r="129" spans="2:9" x14ac:dyDescent="0.3">
      <c r="B129">
        <v>1105267</v>
      </c>
      <c r="C129" s="8">
        <v>43611</v>
      </c>
      <c r="D129" s="8" t="s">
        <v>16</v>
      </c>
      <c r="E129" t="s">
        <v>11</v>
      </c>
      <c r="F129" s="7">
        <v>7</v>
      </c>
      <c r="G129" s="7">
        <v>179</v>
      </c>
      <c r="H129" s="7">
        <v>35.800000000000004</v>
      </c>
      <c r="I129" s="7">
        <v>1217.2</v>
      </c>
    </row>
    <row r="130" spans="2:9" x14ac:dyDescent="0.3">
      <c r="B130">
        <v>1105276</v>
      </c>
      <c r="C130" s="8">
        <v>43612</v>
      </c>
      <c r="D130" s="8" t="s">
        <v>15</v>
      </c>
      <c r="E130" t="s">
        <v>11</v>
      </c>
      <c r="F130" s="7">
        <v>5</v>
      </c>
      <c r="G130" s="7">
        <v>699</v>
      </c>
      <c r="H130" s="7">
        <v>139.80000000000001</v>
      </c>
      <c r="I130" s="7">
        <v>3355.2</v>
      </c>
    </row>
    <row r="131" spans="2:9" x14ac:dyDescent="0.3">
      <c r="B131">
        <v>1105297</v>
      </c>
      <c r="C131" s="8">
        <v>43615</v>
      </c>
      <c r="D131" s="8" t="s">
        <v>15</v>
      </c>
      <c r="E131" t="s">
        <v>11</v>
      </c>
      <c r="F131" s="7">
        <v>11</v>
      </c>
      <c r="G131" s="7">
        <v>699</v>
      </c>
      <c r="H131" s="7">
        <v>139.80000000000001</v>
      </c>
      <c r="I131" s="7">
        <v>7549.2</v>
      </c>
    </row>
    <row r="132" spans="2:9" x14ac:dyDescent="0.3">
      <c r="B132">
        <v>1105456</v>
      </c>
      <c r="C132" s="8">
        <v>43637</v>
      </c>
      <c r="D132" s="8" t="s">
        <v>17</v>
      </c>
      <c r="E132" t="s">
        <v>9</v>
      </c>
      <c r="F132" s="7">
        <v>1</v>
      </c>
      <c r="G132" s="7">
        <v>214</v>
      </c>
      <c r="H132" s="7">
        <v>0</v>
      </c>
      <c r="I132" s="7">
        <v>214</v>
      </c>
    </row>
    <row r="133" spans="2:9" x14ac:dyDescent="0.3">
      <c r="B133">
        <v>1105644</v>
      </c>
      <c r="C133" s="8">
        <v>43665</v>
      </c>
      <c r="D133" s="8" t="s">
        <v>10</v>
      </c>
      <c r="E133" t="s">
        <v>11</v>
      </c>
      <c r="F133" s="7">
        <v>92</v>
      </c>
      <c r="G133" s="7">
        <v>49.95</v>
      </c>
      <c r="H133" s="7">
        <v>9.990000000000002</v>
      </c>
      <c r="I133" s="7">
        <v>4585.4100000000008</v>
      </c>
    </row>
    <row r="134" spans="2:9" x14ac:dyDescent="0.3">
      <c r="B134">
        <v>1105693</v>
      </c>
      <c r="C134" s="8">
        <v>43675</v>
      </c>
      <c r="D134" s="8" t="s">
        <v>16</v>
      </c>
      <c r="E134" t="s">
        <v>11</v>
      </c>
      <c r="F134" s="7">
        <v>10</v>
      </c>
      <c r="G134" s="7">
        <v>119</v>
      </c>
      <c r="H134" s="7">
        <v>23.8</v>
      </c>
      <c r="I134" s="7">
        <v>1166.2</v>
      </c>
    </row>
    <row r="135" spans="2:9" x14ac:dyDescent="0.3">
      <c r="B135">
        <v>1105777</v>
      </c>
      <c r="C135" s="8">
        <v>43688</v>
      </c>
      <c r="D135" s="8" t="s">
        <v>10</v>
      </c>
      <c r="E135" t="s">
        <v>9</v>
      </c>
      <c r="F135" s="7">
        <v>1</v>
      </c>
      <c r="G135" s="7">
        <v>32.950000000000003</v>
      </c>
      <c r="H135" s="7">
        <v>0</v>
      </c>
      <c r="I135" s="7">
        <v>32.950000000000003</v>
      </c>
    </row>
    <row r="136" spans="2:9" x14ac:dyDescent="0.3">
      <c r="B136">
        <v>1105797</v>
      </c>
      <c r="C136" s="8">
        <v>43690</v>
      </c>
      <c r="D136" s="8" t="s">
        <v>12</v>
      </c>
      <c r="E136" t="s">
        <v>9</v>
      </c>
      <c r="F136" s="7">
        <v>1</v>
      </c>
      <c r="G136" s="7">
        <v>11.99</v>
      </c>
      <c r="H136" s="7">
        <v>0</v>
      </c>
      <c r="I136" s="7">
        <v>11.99</v>
      </c>
    </row>
    <row r="137" spans="2:9" x14ac:dyDescent="0.3">
      <c r="B137">
        <v>1105837</v>
      </c>
      <c r="C137" s="8">
        <v>43696</v>
      </c>
      <c r="D137" s="8" t="s">
        <v>10</v>
      </c>
      <c r="E137" t="s">
        <v>11</v>
      </c>
      <c r="F137" s="7">
        <v>8</v>
      </c>
      <c r="G137" s="7">
        <v>32.950000000000003</v>
      </c>
      <c r="H137" s="7">
        <v>6.5900000000000007</v>
      </c>
      <c r="I137" s="7">
        <v>257.01000000000005</v>
      </c>
    </row>
    <row r="138" spans="2:9" x14ac:dyDescent="0.3">
      <c r="B138">
        <v>1100946</v>
      </c>
      <c r="C138" s="8">
        <v>42981</v>
      </c>
      <c r="D138" s="8" t="s">
        <v>14</v>
      </c>
      <c r="E138" t="s">
        <v>11</v>
      </c>
      <c r="F138" s="7">
        <v>7</v>
      </c>
      <c r="G138" s="7">
        <v>19.989999999999998</v>
      </c>
      <c r="H138" s="7">
        <v>3.9979999999999998</v>
      </c>
      <c r="I138" s="7">
        <v>135.93199999999999</v>
      </c>
    </row>
    <row r="139" spans="2:9" x14ac:dyDescent="0.3">
      <c r="B139">
        <v>1100975</v>
      </c>
      <c r="C139" s="8">
        <v>42985</v>
      </c>
      <c r="D139" s="8" t="s">
        <v>13</v>
      </c>
      <c r="E139" t="s">
        <v>11</v>
      </c>
      <c r="F139" s="7">
        <v>3</v>
      </c>
      <c r="G139" s="7">
        <v>395</v>
      </c>
      <c r="H139" s="7">
        <v>79</v>
      </c>
      <c r="I139" s="7">
        <v>1106</v>
      </c>
    </row>
    <row r="140" spans="2:9" x14ac:dyDescent="0.3">
      <c r="B140">
        <v>1101062</v>
      </c>
      <c r="C140" s="8">
        <v>42997</v>
      </c>
      <c r="D140" s="8" t="s">
        <v>10</v>
      </c>
      <c r="E140" t="s">
        <v>11</v>
      </c>
      <c r="F140" s="7">
        <v>7</v>
      </c>
      <c r="G140" s="7">
        <v>49</v>
      </c>
      <c r="H140" s="7">
        <v>9.8000000000000007</v>
      </c>
      <c r="I140" s="7">
        <v>333.2</v>
      </c>
    </row>
    <row r="141" spans="2:9" x14ac:dyDescent="0.3">
      <c r="B141">
        <v>1101325</v>
      </c>
      <c r="C141" s="8">
        <v>43035</v>
      </c>
      <c r="D141" s="8" t="s">
        <v>14</v>
      </c>
      <c r="E141" t="s">
        <v>9</v>
      </c>
      <c r="F141" s="7">
        <v>1</v>
      </c>
      <c r="G141" s="7">
        <v>19.5</v>
      </c>
      <c r="H141" s="7">
        <v>0</v>
      </c>
      <c r="I141" s="7">
        <v>19.5</v>
      </c>
    </row>
    <row r="142" spans="2:9" x14ac:dyDescent="0.3">
      <c r="B142">
        <v>1101386</v>
      </c>
      <c r="C142" s="8">
        <v>43043</v>
      </c>
      <c r="D142" s="8" t="s">
        <v>10</v>
      </c>
      <c r="E142" t="s">
        <v>11</v>
      </c>
      <c r="F142" s="7">
        <v>12</v>
      </c>
      <c r="G142" s="7">
        <v>44.95</v>
      </c>
      <c r="H142" s="7">
        <v>8.99</v>
      </c>
      <c r="I142" s="7">
        <v>530.41000000000008</v>
      </c>
    </row>
    <row r="143" spans="2:9" x14ac:dyDescent="0.3">
      <c r="B143">
        <v>1101395</v>
      </c>
      <c r="C143" s="8">
        <v>43044</v>
      </c>
      <c r="D143" s="8" t="s">
        <v>10</v>
      </c>
      <c r="E143" t="s">
        <v>9</v>
      </c>
      <c r="F143" s="7">
        <v>1</v>
      </c>
      <c r="G143" s="7">
        <v>42.99</v>
      </c>
      <c r="H143" s="7">
        <v>0</v>
      </c>
      <c r="I143" s="7">
        <v>42.99</v>
      </c>
    </row>
    <row r="144" spans="2:9" x14ac:dyDescent="0.3">
      <c r="B144">
        <v>1101552</v>
      </c>
      <c r="C144" s="8">
        <v>43070</v>
      </c>
      <c r="D144" s="8" t="s">
        <v>10</v>
      </c>
      <c r="E144" t="s">
        <v>9</v>
      </c>
      <c r="F144" s="7">
        <v>1</v>
      </c>
      <c r="G144" s="7">
        <v>49</v>
      </c>
      <c r="H144" s="7">
        <v>0</v>
      </c>
      <c r="I144" s="7">
        <v>49</v>
      </c>
    </row>
    <row r="145" spans="2:9" x14ac:dyDescent="0.3">
      <c r="B145">
        <v>1101638</v>
      </c>
      <c r="C145" s="8">
        <v>43080</v>
      </c>
      <c r="D145" s="8" t="s">
        <v>14</v>
      </c>
      <c r="E145" t="s">
        <v>9</v>
      </c>
      <c r="F145" s="7">
        <v>1</v>
      </c>
      <c r="G145" s="7">
        <v>24.95</v>
      </c>
      <c r="H145" s="7">
        <v>0</v>
      </c>
      <c r="I145" s="7">
        <v>24.95</v>
      </c>
    </row>
    <row r="146" spans="2:9" x14ac:dyDescent="0.3">
      <c r="B146">
        <v>1101700</v>
      </c>
      <c r="C146" s="8">
        <v>43090</v>
      </c>
      <c r="D146" s="8" t="s">
        <v>10</v>
      </c>
      <c r="E146" t="s">
        <v>11</v>
      </c>
      <c r="F146" s="7">
        <v>11</v>
      </c>
      <c r="G146" s="7">
        <v>29.99</v>
      </c>
      <c r="H146" s="7">
        <v>5.9980000000000002</v>
      </c>
      <c r="I146" s="7">
        <v>323.892</v>
      </c>
    </row>
    <row r="147" spans="2:9" x14ac:dyDescent="0.3">
      <c r="B147">
        <v>1101818</v>
      </c>
      <c r="C147" s="8">
        <v>43107</v>
      </c>
      <c r="D147" s="8" t="s">
        <v>14</v>
      </c>
      <c r="E147" t="s">
        <v>9</v>
      </c>
      <c r="F147" s="7">
        <v>1</v>
      </c>
      <c r="G147" s="7">
        <v>24.99</v>
      </c>
      <c r="H147" s="7">
        <v>0</v>
      </c>
      <c r="I147" s="7">
        <v>24.99</v>
      </c>
    </row>
    <row r="148" spans="2:9" x14ac:dyDescent="0.3">
      <c r="B148">
        <v>1102078</v>
      </c>
      <c r="C148" s="8">
        <v>43147</v>
      </c>
      <c r="D148" s="8" t="s">
        <v>16</v>
      </c>
      <c r="E148" t="s">
        <v>11</v>
      </c>
      <c r="F148" s="7">
        <v>13</v>
      </c>
      <c r="G148" s="7">
        <v>119</v>
      </c>
      <c r="H148" s="7">
        <v>23.8</v>
      </c>
      <c r="I148" s="7">
        <v>1523.2</v>
      </c>
    </row>
    <row r="149" spans="2:9" x14ac:dyDescent="0.3">
      <c r="B149">
        <v>1102093</v>
      </c>
      <c r="C149" s="8">
        <v>43150</v>
      </c>
      <c r="D149" s="8" t="s">
        <v>14</v>
      </c>
      <c r="E149" t="s">
        <v>9</v>
      </c>
      <c r="F149" s="7">
        <v>1</v>
      </c>
      <c r="G149" s="7">
        <v>12.99</v>
      </c>
      <c r="H149" s="7">
        <v>0</v>
      </c>
      <c r="I149" s="7">
        <v>12.99</v>
      </c>
    </row>
    <row r="150" spans="2:9" x14ac:dyDescent="0.3">
      <c r="B150">
        <v>1102110</v>
      </c>
      <c r="C150" s="8">
        <v>43153</v>
      </c>
      <c r="D150" s="8" t="s">
        <v>14</v>
      </c>
      <c r="E150" t="s">
        <v>11</v>
      </c>
      <c r="F150" s="7">
        <v>13</v>
      </c>
      <c r="G150" s="7">
        <v>16.989999999999998</v>
      </c>
      <c r="H150" s="7">
        <v>3.3979999999999997</v>
      </c>
      <c r="I150" s="7">
        <v>217.47199999999998</v>
      </c>
    </row>
    <row r="151" spans="2:9" x14ac:dyDescent="0.3">
      <c r="B151">
        <v>1102253</v>
      </c>
      <c r="C151" s="8">
        <v>43172</v>
      </c>
      <c r="D151" s="8" t="s">
        <v>10</v>
      </c>
      <c r="E151" t="s">
        <v>9</v>
      </c>
      <c r="F151" s="7">
        <v>1</v>
      </c>
      <c r="G151" s="7">
        <v>34.99</v>
      </c>
      <c r="H151" s="7">
        <v>0</v>
      </c>
      <c r="I151" s="7">
        <v>34.99</v>
      </c>
    </row>
    <row r="152" spans="2:9" x14ac:dyDescent="0.3">
      <c r="B152">
        <v>1102334</v>
      </c>
      <c r="C152" s="8">
        <v>43185</v>
      </c>
      <c r="D152" s="8" t="s">
        <v>12</v>
      </c>
      <c r="E152" t="s">
        <v>11</v>
      </c>
      <c r="F152" s="7">
        <v>10</v>
      </c>
      <c r="G152" s="7">
        <v>7.99</v>
      </c>
      <c r="H152" s="7">
        <v>1.5980000000000001</v>
      </c>
      <c r="I152" s="7">
        <v>78.302000000000007</v>
      </c>
    </row>
    <row r="153" spans="2:9" x14ac:dyDescent="0.3">
      <c r="B153">
        <v>1102619</v>
      </c>
      <c r="C153" s="8">
        <v>43228</v>
      </c>
      <c r="D153" s="8" t="s">
        <v>12</v>
      </c>
      <c r="E153" t="s">
        <v>11</v>
      </c>
      <c r="F153" s="7">
        <v>38</v>
      </c>
      <c r="G153" s="7">
        <v>8.99</v>
      </c>
      <c r="H153" s="7">
        <v>1.798</v>
      </c>
      <c r="I153" s="7">
        <v>339.822</v>
      </c>
    </row>
    <row r="154" spans="2:9" x14ac:dyDescent="0.3">
      <c r="B154">
        <v>1102683</v>
      </c>
      <c r="C154" s="8">
        <v>43235</v>
      </c>
      <c r="D154" s="8" t="s">
        <v>16</v>
      </c>
      <c r="E154" t="s">
        <v>9</v>
      </c>
      <c r="F154" s="7">
        <v>1</v>
      </c>
      <c r="G154" s="7">
        <v>179</v>
      </c>
      <c r="H154" s="7">
        <v>0</v>
      </c>
      <c r="I154" s="7">
        <v>179</v>
      </c>
    </row>
    <row r="155" spans="2:9" x14ac:dyDescent="0.3">
      <c r="B155">
        <v>1102814</v>
      </c>
      <c r="C155" s="8">
        <v>43257</v>
      </c>
      <c r="D155" s="8" t="s">
        <v>14</v>
      </c>
      <c r="E155" t="s">
        <v>9</v>
      </c>
      <c r="F155" s="7">
        <v>1</v>
      </c>
      <c r="G155" s="7">
        <v>19.5</v>
      </c>
      <c r="H155" s="7">
        <v>0</v>
      </c>
      <c r="I155" s="7">
        <v>19.5</v>
      </c>
    </row>
    <row r="156" spans="2:9" x14ac:dyDescent="0.3">
      <c r="B156">
        <v>1102841</v>
      </c>
      <c r="C156" s="8">
        <v>43261</v>
      </c>
      <c r="D156" s="8" t="s">
        <v>10</v>
      </c>
      <c r="E156" t="s">
        <v>9</v>
      </c>
      <c r="F156" s="7">
        <v>1</v>
      </c>
      <c r="G156" s="7">
        <v>27.5</v>
      </c>
      <c r="H156" s="7">
        <v>0</v>
      </c>
      <c r="I156" s="7">
        <v>27.5</v>
      </c>
    </row>
    <row r="157" spans="2:9" x14ac:dyDescent="0.3">
      <c r="B157">
        <v>1103080</v>
      </c>
      <c r="C157" s="8">
        <v>43290</v>
      </c>
      <c r="D157" s="8" t="s">
        <v>14</v>
      </c>
      <c r="E157" t="s">
        <v>11</v>
      </c>
      <c r="F157" s="7">
        <v>76</v>
      </c>
      <c r="G157" s="7">
        <v>14.99</v>
      </c>
      <c r="H157" s="7">
        <v>2.9980000000000002</v>
      </c>
      <c r="I157" s="7">
        <v>1136.242</v>
      </c>
    </row>
    <row r="158" spans="2:9" x14ac:dyDescent="0.3">
      <c r="B158">
        <v>1103183</v>
      </c>
      <c r="C158" s="8">
        <v>43303</v>
      </c>
      <c r="D158" s="8" t="s">
        <v>10</v>
      </c>
      <c r="E158" t="s">
        <v>9</v>
      </c>
      <c r="F158" s="7">
        <v>1</v>
      </c>
      <c r="G158" s="7">
        <v>36.99</v>
      </c>
      <c r="H158" s="7">
        <v>0</v>
      </c>
      <c r="I158" s="7">
        <v>36.99</v>
      </c>
    </row>
    <row r="159" spans="2:9" x14ac:dyDescent="0.3">
      <c r="B159">
        <v>1103302</v>
      </c>
      <c r="C159" s="8">
        <v>43320</v>
      </c>
      <c r="D159" s="8" t="s">
        <v>17</v>
      </c>
      <c r="E159" t="s">
        <v>11</v>
      </c>
      <c r="F159" s="7">
        <v>3</v>
      </c>
      <c r="G159" s="7">
        <v>189</v>
      </c>
      <c r="H159" s="7">
        <v>37.800000000000004</v>
      </c>
      <c r="I159" s="7">
        <v>529.20000000000005</v>
      </c>
    </row>
    <row r="160" spans="2:9" x14ac:dyDescent="0.3">
      <c r="B160">
        <v>1103323</v>
      </c>
      <c r="C160" s="8">
        <v>43322</v>
      </c>
      <c r="D160" s="8" t="s">
        <v>15</v>
      </c>
      <c r="E160" t="s">
        <v>9</v>
      </c>
      <c r="F160" s="7">
        <v>1</v>
      </c>
      <c r="G160" s="7">
        <v>684</v>
      </c>
      <c r="H160" s="7">
        <v>0</v>
      </c>
      <c r="I160" s="7">
        <v>684</v>
      </c>
    </row>
    <row r="161" spans="2:9" x14ac:dyDescent="0.3">
      <c r="B161">
        <v>1103365</v>
      </c>
      <c r="C161" s="8">
        <v>43328</v>
      </c>
      <c r="D161" s="8" t="s">
        <v>10</v>
      </c>
      <c r="E161" t="s">
        <v>11</v>
      </c>
      <c r="F161" s="7">
        <v>12</v>
      </c>
      <c r="G161" s="7">
        <v>49</v>
      </c>
      <c r="H161" s="7">
        <v>9.8000000000000007</v>
      </c>
      <c r="I161" s="7">
        <v>578.20000000000005</v>
      </c>
    </row>
    <row r="162" spans="2:9" x14ac:dyDescent="0.3">
      <c r="B162">
        <v>1103597</v>
      </c>
      <c r="C162" s="8">
        <v>43361</v>
      </c>
      <c r="D162" s="8" t="s">
        <v>12</v>
      </c>
      <c r="E162" t="s">
        <v>11</v>
      </c>
      <c r="F162" s="7">
        <v>5</v>
      </c>
      <c r="G162" s="7">
        <v>12</v>
      </c>
      <c r="H162" s="7">
        <v>2.4000000000000004</v>
      </c>
      <c r="I162" s="7">
        <v>57.6</v>
      </c>
    </row>
    <row r="163" spans="2:9" x14ac:dyDescent="0.3">
      <c r="B163">
        <v>1103612</v>
      </c>
      <c r="C163" s="8">
        <v>43363</v>
      </c>
      <c r="D163" s="8" t="s">
        <v>16</v>
      </c>
      <c r="E163" t="s">
        <v>11</v>
      </c>
      <c r="F163" s="7">
        <v>6</v>
      </c>
      <c r="G163" s="7">
        <v>89</v>
      </c>
      <c r="H163" s="7">
        <v>17.8</v>
      </c>
      <c r="I163" s="7">
        <v>516.20000000000005</v>
      </c>
    </row>
    <row r="164" spans="2:9" x14ac:dyDescent="0.3">
      <c r="B164">
        <v>1103692</v>
      </c>
      <c r="C164" s="8">
        <v>43375</v>
      </c>
      <c r="D164" s="8" t="s">
        <v>12</v>
      </c>
      <c r="E164" t="s">
        <v>9</v>
      </c>
      <c r="F164" s="7">
        <v>1</v>
      </c>
      <c r="G164" s="7">
        <v>4.99</v>
      </c>
      <c r="H164" s="7">
        <v>0</v>
      </c>
      <c r="I164" s="7">
        <v>4.99</v>
      </c>
    </row>
    <row r="165" spans="2:9" x14ac:dyDescent="0.3">
      <c r="B165">
        <v>1103854</v>
      </c>
      <c r="C165" s="8">
        <v>43400</v>
      </c>
      <c r="D165" s="8" t="s">
        <v>16</v>
      </c>
      <c r="E165" t="s">
        <v>11</v>
      </c>
      <c r="F165" s="7">
        <v>9</v>
      </c>
      <c r="G165" s="7">
        <v>54</v>
      </c>
      <c r="H165" s="7">
        <v>10.8</v>
      </c>
      <c r="I165" s="7">
        <v>475.2</v>
      </c>
    </row>
    <row r="166" spans="2:9" x14ac:dyDescent="0.3">
      <c r="B166">
        <v>1103884</v>
      </c>
      <c r="C166" s="8">
        <v>43405</v>
      </c>
      <c r="D166" s="8" t="s">
        <v>14</v>
      </c>
      <c r="E166" t="s">
        <v>11</v>
      </c>
      <c r="F166" s="7">
        <v>9</v>
      </c>
      <c r="G166" s="7">
        <v>16.989999999999998</v>
      </c>
      <c r="H166" s="7">
        <v>3.3979999999999997</v>
      </c>
      <c r="I166" s="7">
        <v>149.512</v>
      </c>
    </row>
    <row r="167" spans="2:9" x14ac:dyDescent="0.3">
      <c r="B167">
        <v>1103952</v>
      </c>
      <c r="C167" s="8">
        <v>43416</v>
      </c>
      <c r="D167" s="8" t="s">
        <v>10</v>
      </c>
      <c r="E167" t="s">
        <v>9</v>
      </c>
      <c r="F167" s="7">
        <v>1</v>
      </c>
      <c r="G167" s="7">
        <v>37.99</v>
      </c>
      <c r="H167" s="7">
        <v>0</v>
      </c>
      <c r="I167" s="7">
        <v>37.99</v>
      </c>
    </row>
    <row r="168" spans="2:9" x14ac:dyDescent="0.3">
      <c r="B168">
        <v>1103964</v>
      </c>
      <c r="C168" s="8">
        <v>43417</v>
      </c>
      <c r="D168" s="8" t="s">
        <v>14</v>
      </c>
      <c r="E168" t="s">
        <v>11</v>
      </c>
      <c r="F168" s="7">
        <v>9</v>
      </c>
      <c r="G168" s="7">
        <v>15.5</v>
      </c>
      <c r="H168" s="7">
        <v>3.1</v>
      </c>
      <c r="I168" s="7">
        <v>136.4</v>
      </c>
    </row>
    <row r="169" spans="2:9" x14ac:dyDescent="0.3">
      <c r="B169">
        <v>1104065</v>
      </c>
      <c r="C169" s="8">
        <v>43434</v>
      </c>
      <c r="D169" s="8" t="s">
        <v>12</v>
      </c>
      <c r="E169" t="s">
        <v>11</v>
      </c>
      <c r="F169" s="7">
        <v>7</v>
      </c>
      <c r="G169" s="7">
        <v>12</v>
      </c>
      <c r="H169" s="7">
        <v>2.4000000000000004</v>
      </c>
      <c r="I169" s="7">
        <v>81.599999999999994</v>
      </c>
    </row>
    <row r="170" spans="2:9" x14ac:dyDescent="0.3">
      <c r="B170">
        <v>1104209</v>
      </c>
      <c r="C170" s="8">
        <v>43454</v>
      </c>
      <c r="D170" s="8" t="s">
        <v>17</v>
      </c>
      <c r="E170" t="s">
        <v>9</v>
      </c>
      <c r="F170" s="7">
        <v>1</v>
      </c>
      <c r="G170" s="7">
        <v>222</v>
      </c>
      <c r="H170" s="7">
        <v>0</v>
      </c>
      <c r="I170" s="7">
        <v>222</v>
      </c>
    </row>
    <row r="171" spans="2:9" x14ac:dyDescent="0.3">
      <c r="B171">
        <v>1104251</v>
      </c>
      <c r="C171" s="8">
        <v>43458</v>
      </c>
      <c r="D171" s="8" t="s">
        <v>14</v>
      </c>
      <c r="E171" t="s">
        <v>9</v>
      </c>
      <c r="F171" s="7">
        <v>1</v>
      </c>
      <c r="G171" s="7">
        <v>16.75</v>
      </c>
      <c r="H171" s="7">
        <v>0</v>
      </c>
      <c r="I171" s="7">
        <v>16.75</v>
      </c>
    </row>
    <row r="172" spans="2:9" x14ac:dyDescent="0.3">
      <c r="B172">
        <v>1104356</v>
      </c>
      <c r="C172" s="8">
        <v>43473</v>
      </c>
      <c r="D172" s="8" t="s">
        <v>10</v>
      </c>
      <c r="E172" t="s">
        <v>11</v>
      </c>
      <c r="F172" s="7">
        <v>8</v>
      </c>
      <c r="G172" s="7">
        <v>42.99</v>
      </c>
      <c r="H172" s="7">
        <v>8.5980000000000008</v>
      </c>
      <c r="I172" s="7">
        <v>335.322</v>
      </c>
    </row>
    <row r="173" spans="2:9" x14ac:dyDescent="0.3">
      <c r="B173">
        <v>1104462</v>
      </c>
      <c r="C173" s="8">
        <v>43492</v>
      </c>
      <c r="D173" s="8" t="s">
        <v>10</v>
      </c>
      <c r="E173" t="s">
        <v>11</v>
      </c>
      <c r="F173" s="7">
        <v>4</v>
      </c>
      <c r="G173" s="7">
        <v>34.99</v>
      </c>
      <c r="H173" s="7">
        <v>6.9980000000000011</v>
      </c>
      <c r="I173" s="7">
        <v>132.96200000000002</v>
      </c>
    </row>
    <row r="174" spans="2:9" x14ac:dyDescent="0.3">
      <c r="B174">
        <v>1104484</v>
      </c>
      <c r="C174" s="8">
        <v>43497</v>
      </c>
      <c r="D174" s="8" t="s">
        <v>16</v>
      </c>
      <c r="E174" t="s">
        <v>11</v>
      </c>
      <c r="F174" s="7">
        <v>6</v>
      </c>
      <c r="G174" s="7">
        <v>119</v>
      </c>
      <c r="H174" s="7">
        <v>23.8</v>
      </c>
      <c r="I174" s="7">
        <v>690.2</v>
      </c>
    </row>
    <row r="175" spans="2:9" x14ac:dyDescent="0.3">
      <c r="B175">
        <v>1104566</v>
      </c>
      <c r="C175" s="8">
        <v>43510</v>
      </c>
      <c r="D175" s="8" t="s">
        <v>15</v>
      </c>
      <c r="E175" t="s">
        <v>11</v>
      </c>
      <c r="F175" s="7">
        <v>13</v>
      </c>
      <c r="G175" s="7">
        <v>899</v>
      </c>
      <c r="H175" s="7">
        <v>179.8</v>
      </c>
      <c r="I175" s="7">
        <v>11507.2</v>
      </c>
    </row>
    <row r="176" spans="2:9" x14ac:dyDescent="0.3">
      <c r="B176">
        <v>1104650</v>
      </c>
      <c r="C176" s="8">
        <v>43521</v>
      </c>
      <c r="D176" s="8" t="s">
        <v>15</v>
      </c>
      <c r="E176" t="s">
        <v>11</v>
      </c>
      <c r="F176" s="7">
        <v>13</v>
      </c>
      <c r="G176" s="7">
        <v>599</v>
      </c>
      <c r="H176" s="7">
        <v>119.80000000000001</v>
      </c>
      <c r="I176" s="7">
        <v>7667.2</v>
      </c>
    </row>
    <row r="177" spans="2:9" x14ac:dyDescent="0.3">
      <c r="B177">
        <v>1104657</v>
      </c>
      <c r="C177" s="8">
        <v>43521</v>
      </c>
      <c r="D177" s="8" t="s">
        <v>14</v>
      </c>
      <c r="E177" t="s">
        <v>11</v>
      </c>
      <c r="F177" s="7">
        <v>7</v>
      </c>
      <c r="G177" s="7">
        <v>24.95</v>
      </c>
      <c r="H177" s="7">
        <v>4.99</v>
      </c>
      <c r="I177" s="7">
        <v>169.66</v>
      </c>
    </row>
    <row r="178" spans="2:9" x14ac:dyDescent="0.3">
      <c r="B178">
        <v>1104706</v>
      </c>
      <c r="C178" s="8">
        <v>43527</v>
      </c>
      <c r="D178" s="8" t="s">
        <v>14</v>
      </c>
      <c r="E178" t="s">
        <v>9</v>
      </c>
      <c r="F178" s="7">
        <v>1</v>
      </c>
      <c r="G178" s="7">
        <v>14.99</v>
      </c>
      <c r="H178" s="7">
        <v>0</v>
      </c>
      <c r="I178" s="7">
        <v>14.99</v>
      </c>
    </row>
    <row r="179" spans="2:9" x14ac:dyDescent="0.3">
      <c r="B179">
        <v>1104795</v>
      </c>
      <c r="C179" s="8">
        <v>43540</v>
      </c>
      <c r="D179" s="8" t="s">
        <v>14</v>
      </c>
      <c r="E179" t="s">
        <v>11</v>
      </c>
      <c r="F179" s="7">
        <v>8</v>
      </c>
      <c r="G179" s="7">
        <v>14.99</v>
      </c>
      <c r="H179" s="7">
        <v>2.9980000000000002</v>
      </c>
      <c r="I179" s="7">
        <v>116.922</v>
      </c>
    </row>
    <row r="180" spans="2:9" x14ac:dyDescent="0.3">
      <c r="B180">
        <v>1104802</v>
      </c>
      <c r="C180" s="8">
        <v>43541</v>
      </c>
      <c r="D180" s="8" t="s">
        <v>16</v>
      </c>
      <c r="E180" t="s">
        <v>11</v>
      </c>
      <c r="F180" s="7">
        <v>10</v>
      </c>
      <c r="G180" s="7">
        <v>167</v>
      </c>
      <c r="H180" s="7">
        <v>33.4</v>
      </c>
      <c r="I180" s="7">
        <v>1636.6</v>
      </c>
    </row>
    <row r="181" spans="2:9" x14ac:dyDescent="0.3">
      <c r="B181">
        <v>1104936</v>
      </c>
      <c r="C181" s="8">
        <v>43560</v>
      </c>
      <c r="D181" s="8" t="s">
        <v>12</v>
      </c>
      <c r="E181" t="s">
        <v>11</v>
      </c>
      <c r="F181" s="7">
        <v>4</v>
      </c>
      <c r="G181" s="7">
        <v>7.99</v>
      </c>
      <c r="H181" s="7">
        <v>1.5980000000000001</v>
      </c>
      <c r="I181" s="7">
        <v>30.362000000000002</v>
      </c>
    </row>
    <row r="182" spans="2:9" x14ac:dyDescent="0.3">
      <c r="B182">
        <v>1105005</v>
      </c>
      <c r="C182" s="8">
        <v>43570</v>
      </c>
      <c r="D182" s="8" t="s">
        <v>14</v>
      </c>
      <c r="E182" t="s">
        <v>9</v>
      </c>
      <c r="F182" s="7">
        <v>1</v>
      </c>
      <c r="G182" s="7">
        <v>23.99</v>
      </c>
      <c r="H182" s="7">
        <v>0</v>
      </c>
      <c r="I182" s="7">
        <v>23.99</v>
      </c>
    </row>
    <row r="183" spans="2:9" x14ac:dyDescent="0.3">
      <c r="B183">
        <v>1105033</v>
      </c>
      <c r="C183" s="8">
        <v>43574</v>
      </c>
      <c r="D183" s="8" t="s">
        <v>17</v>
      </c>
      <c r="E183" t="s">
        <v>11</v>
      </c>
      <c r="F183" s="7">
        <v>11</v>
      </c>
      <c r="G183" s="7">
        <v>245</v>
      </c>
      <c r="H183" s="7">
        <v>49</v>
      </c>
      <c r="I183" s="7">
        <v>2646</v>
      </c>
    </row>
    <row r="184" spans="2:9" x14ac:dyDescent="0.3">
      <c r="B184">
        <v>1105056</v>
      </c>
      <c r="C184" s="8">
        <v>43578</v>
      </c>
      <c r="D184" s="8" t="s">
        <v>12</v>
      </c>
      <c r="E184" t="s">
        <v>11</v>
      </c>
      <c r="F184" s="7">
        <v>9</v>
      </c>
      <c r="G184" s="7">
        <v>8.99</v>
      </c>
      <c r="H184" s="7">
        <v>1.798</v>
      </c>
      <c r="I184" s="7">
        <v>79.111999999999995</v>
      </c>
    </row>
    <row r="185" spans="2:9" x14ac:dyDescent="0.3">
      <c r="B185">
        <v>1105347</v>
      </c>
      <c r="C185" s="8">
        <v>43622</v>
      </c>
      <c r="D185" s="8" t="s">
        <v>10</v>
      </c>
      <c r="E185" t="s">
        <v>9</v>
      </c>
      <c r="F185" s="7">
        <v>1</v>
      </c>
      <c r="G185" s="7">
        <v>42.99</v>
      </c>
      <c r="H185" s="7">
        <v>0</v>
      </c>
      <c r="I185" s="7">
        <v>42.99</v>
      </c>
    </row>
    <row r="186" spans="2:9" x14ac:dyDescent="0.3">
      <c r="B186">
        <v>1105364</v>
      </c>
      <c r="C186" s="8">
        <v>43624</v>
      </c>
      <c r="D186" s="8" t="s">
        <v>12</v>
      </c>
      <c r="E186" t="s">
        <v>11</v>
      </c>
      <c r="F186" s="7">
        <v>11</v>
      </c>
      <c r="G186" s="7">
        <v>11.99</v>
      </c>
      <c r="H186" s="7">
        <v>2.3980000000000001</v>
      </c>
      <c r="I186" s="7">
        <v>129.49200000000002</v>
      </c>
    </row>
    <row r="187" spans="2:9" x14ac:dyDescent="0.3">
      <c r="B187">
        <v>1105420</v>
      </c>
      <c r="C187" s="8">
        <v>43632</v>
      </c>
      <c r="D187" s="8" t="s">
        <v>12</v>
      </c>
      <c r="E187" t="s">
        <v>11</v>
      </c>
      <c r="F187" s="7">
        <v>10</v>
      </c>
      <c r="G187" s="7">
        <v>7.99</v>
      </c>
      <c r="H187" s="7">
        <v>1.5980000000000001</v>
      </c>
      <c r="I187" s="7">
        <v>78.302000000000007</v>
      </c>
    </row>
    <row r="188" spans="2:9" x14ac:dyDescent="0.3">
      <c r="B188">
        <v>1105445</v>
      </c>
      <c r="C188" s="8">
        <v>43635</v>
      </c>
      <c r="D188" s="8" t="s">
        <v>14</v>
      </c>
      <c r="E188" t="s">
        <v>11</v>
      </c>
      <c r="F188" s="7">
        <v>7</v>
      </c>
      <c r="G188" s="7">
        <v>14.99</v>
      </c>
      <c r="H188" s="7">
        <v>2.9980000000000002</v>
      </c>
      <c r="I188" s="7">
        <v>101.932</v>
      </c>
    </row>
    <row r="189" spans="2:9" x14ac:dyDescent="0.3">
      <c r="B189">
        <v>1105491</v>
      </c>
      <c r="C189" s="8">
        <v>43642</v>
      </c>
      <c r="D189" s="8" t="s">
        <v>10</v>
      </c>
      <c r="E189" t="s">
        <v>9</v>
      </c>
      <c r="F189" s="7">
        <v>1</v>
      </c>
      <c r="G189" s="7">
        <v>37.99</v>
      </c>
      <c r="H189" s="7">
        <v>0</v>
      </c>
      <c r="I189" s="7">
        <v>37.99</v>
      </c>
    </row>
    <row r="190" spans="2:9" x14ac:dyDescent="0.3">
      <c r="B190">
        <v>1105517</v>
      </c>
      <c r="C190" s="8">
        <v>43647</v>
      </c>
      <c r="D190" s="8" t="s">
        <v>16</v>
      </c>
      <c r="E190" t="s">
        <v>11</v>
      </c>
      <c r="F190" s="7">
        <v>11</v>
      </c>
      <c r="G190" s="7">
        <v>179</v>
      </c>
      <c r="H190" s="7">
        <v>35.800000000000004</v>
      </c>
      <c r="I190" s="7">
        <v>1933.2</v>
      </c>
    </row>
    <row r="191" spans="2:9" x14ac:dyDescent="0.3">
      <c r="B191">
        <v>1105691</v>
      </c>
      <c r="C191" s="8">
        <v>43674</v>
      </c>
      <c r="D191" s="8" t="s">
        <v>14</v>
      </c>
      <c r="E191" t="s">
        <v>11</v>
      </c>
      <c r="F191" s="7">
        <v>94</v>
      </c>
      <c r="G191" s="7">
        <v>14.99</v>
      </c>
      <c r="H191" s="7">
        <v>2.9980000000000002</v>
      </c>
      <c r="I191" s="7">
        <v>1406.0619999999999</v>
      </c>
    </row>
    <row r="192" spans="2:9" x14ac:dyDescent="0.3">
      <c r="B192">
        <v>1105724</v>
      </c>
      <c r="C192" s="8">
        <v>43679</v>
      </c>
      <c r="D192" s="8" t="s">
        <v>12</v>
      </c>
      <c r="E192" t="s">
        <v>9</v>
      </c>
      <c r="F192" s="7">
        <v>1</v>
      </c>
      <c r="G192" s="7">
        <v>10.99</v>
      </c>
      <c r="H192" s="7">
        <v>0</v>
      </c>
      <c r="I192" s="7">
        <v>10.99</v>
      </c>
    </row>
    <row r="193" spans="2:9" x14ac:dyDescent="0.3">
      <c r="B193">
        <v>1105870</v>
      </c>
      <c r="C193" s="8">
        <v>43701</v>
      </c>
      <c r="D193" s="8" t="s">
        <v>15</v>
      </c>
      <c r="E193" t="s">
        <v>9</v>
      </c>
      <c r="F193" s="7">
        <v>3</v>
      </c>
      <c r="G193" s="7">
        <v>599</v>
      </c>
      <c r="H193" s="7">
        <v>0</v>
      </c>
      <c r="I193" s="7">
        <v>1797</v>
      </c>
    </row>
    <row r="194" spans="2:9" x14ac:dyDescent="0.3">
      <c r="B194">
        <v>1100935</v>
      </c>
      <c r="C194" s="8">
        <v>42979</v>
      </c>
      <c r="D194" s="8" t="s">
        <v>16</v>
      </c>
      <c r="E194" t="s">
        <v>9</v>
      </c>
      <c r="F194" s="7">
        <v>2</v>
      </c>
      <c r="G194" s="7">
        <v>89</v>
      </c>
      <c r="H194" s="7">
        <v>0</v>
      </c>
      <c r="I194" s="7">
        <v>178</v>
      </c>
    </row>
    <row r="195" spans="2:9" x14ac:dyDescent="0.3">
      <c r="B195">
        <v>1100971</v>
      </c>
      <c r="C195" s="8">
        <v>42984</v>
      </c>
      <c r="D195" s="8" t="s">
        <v>13</v>
      </c>
      <c r="E195" t="s">
        <v>11</v>
      </c>
      <c r="F195" s="7">
        <v>12</v>
      </c>
      <c r="G195" s="7">
        <v>250</v>
      </c>
      <c r="H195" s="7">
        <v>50</v>
      </c>
      <c r="I195" s="7">
        <v>2950</v>
      </c>
    </row>
    <row r="196" spans="2:9" x14ac:dyDescent="0.3">
      <c r="B196">
        <v>1100970</v>
      </c>
      <c r="C196" s="8">
        <v>42984</v>
      </c>
      <c r="D196" s="8" t="s">
        <v>12</v>
      </c>
      <c r="E196" t="s">
        <v>9</v>
      </c>
      <c r="F196" s="7">
        <v>1</v>
      </c>
      <c r="G196" s="7">
        <v>8.99</v>
      </c>
      <c r="H196" s="7">
        <v>0</v>
      </c>
      <c r="I196" s="7">
        <v>8.99</v>
      </c>
    </row>
    <row r="197" spans="2:9" x14ac:dyDescent="0.3">
      <c r="B197">
        <v>1100982</v>
      </c>
      <c r="C197" s="8">
        <v>42986</v>
      </c>
      <c r="D197" s="8" t="s">
        <v>10</v>
      </c>
      <c r="E197" t="s">
        <v>11</v>
      </c>
      <c r="F197" s="7">
        <v>6</v>
      </c>
      <c r="G197" s="7">
        <v>34.99</v>
      </c>
      <c r="H197" s="7">
        <v>6.9980000000000011</v>
      </c>
      <c r="I197" s="7">
        <v>202.94200000000001</v>
      </c>
    </row>
    <row r="198" spans="2:9" x14ac:dyDescent="0.3">
      <c r="B198">
        <v>1100984</v>
      </c>
      <c r="C198" s="8">
        <v>42987</v>
      </c>
      <c r="D198" s="8" t="s">
        <v>10</v>
      </c>
      <c r="E198" t="s">
        <v>11</v>
      </c>
      <c r="F198" s="7">
        <v>10</v>
      </c>
      <c r="G198" s="7">
        <v>34.99</v>
      </c>
      <c r="H198" s="7">
        <v>6.9980000000000011</v>
      </c>
      <c r="I198" s="7">
        <v>342.90200000000004</v>
      </c>
    </row>
    <row r="199" spans="2:9" x14ac:dyDescent="0.3">
      <c r="B199">
        <v>1101004</v>
      </c>
      <c r="C199" s="8">
        <v>42990</v>
      </c>
      <c r="D199" s="8" t="s">
        <v>12</v>
      </c>
      <c r="E199" t="s">
        <v>9</v>
      </c>
      <c r="F199" s="7">
        <v>1</v>
      </c>
      <c r="G199" s="7">
        <v>8.99</v>
      </c>
      <c r="H199" s="7">
        <v>0</v>
      </c>
      <c r="I199" s="7">
        <v>8.99</v>
      </c>
    </row>
    <row r="200" spans="2:9" x14ac:dyDescent="0.3">
      <c r="B200">
        <v>1101016</v>
      </c>
      <c r="C200" s="8">
        <v>42991</v>
      </c>
      <c r="D200" s="8" t="s">
        <v>16</v>
      </c>
      <c r="E200" t="s">
        <v>11</v>
      </c>
      <c r="F200" s="7">
        <v>4</v>
      </c>
      <c r="G200" s="7">
        <v>89</v>
      </c>
      <c r="H200" s="7">
        <v>17.8</v>
      </c>
      <c r="I200" s="7">
        <v>338.2</v>
      </c>
    </row>
    <row r="201" spans="2:9" x14ac:dyDescent="0.3">
      <c r="B201">
        <v>1101035</v>
      </c>
      <c r="C201" s="8">
        <v>42994</v>
      </c>
      <c r="D201" s="8" t="s">
        <v>13</v>
      </c>
      <c r="E201" t="s">
        <v>11</v>
      </c>
      <c r="F201" s="7">
        <v>8</v>
      </c>
      <c r="G201" s="7">
        <v>499</v>
      </c>
      <c r="H201" s="7">
        <v>99.800000000000011</v>
      </c>
      <c r="I201" s="7">
        <v>3892.2</v>
      </c>
    </row>
  </sheetData>
  <autoFilter ref="B3:I3" xr:uid="{0EBEB1C6-B6BE-42AE-8E09-0DE9211F812F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BA63-71BA-4787-98CC-332BEB600E0C}">
  <sheetPr>
    <tabColor theme="9" tint="-0.499984740745262"/>
  </sheetPr>
  <dimension ref="B1:K201"/>
  <sheetViews>
    <sheetView showGridLines="0" topLeftCell="D1" zoomScale="90" zoomScaleNormal="90" workbookViewId="0">
      <pane ySplit="3" topLeftCell="A4" activePane="bottomLeft" state="frozen"/>
      <selection pane="bottomLeft" activeCell="K8" sqref="K8"/>
    </sheetView>
  </sheetViews>
  <sheetFormatPr defaultRowHeight="14.4" x14ac:dyDescent="0.3"/>
  <cols>
    <col min="2" max="2" width="10.21875" customWidth="1"/>
    <col min="3" max="3" width="11.21875" bestFit="1" customWidth="1"/>
    <col min="4" max="4" width="14.77734375" customWidth="1"/>
    <col min="5" max="9" width="10.21875" customWidth="1"/>
    <col min="11" max="11" width="20.6640625" customWidth="1"/>
  </cols>
  <sheetData>
    <row r="1" spans="2:11" x14ac:dyDescent="0.3">
      <c r="B1" t="s">
        <v>46</v>
      </c>
    </row>
    <row r="2" spans="2:11" x14ac:dyDescent="0.3">
      <c r="B2" s="3" t="s">
        <v>18</v>
      </c>
      <c r="C2" s="3"/>
      <c r="D2" s="3"/>
      <c r="E2" s="3"/>
      <c r="F2" s="3"/>
      <c r="G2" s="3"/>
      <c r="H2" s="3"/>
      <c r="I2" s="3"/>
      <c r="K2" s="4" t="s">
        <v>19</v>
      </c>
    </row>
    <row r="3" spans="2:11" s="16" customFormat="1" ht="41.4" customHeight="1" x14ac:dyDescent="0.3">
      <c r="B3" s="15" t="s">
        <v>1</v>
      </c>
      <c r="C3" s="15" t="s">
        <v>2</v>
      </c>
      <c r="D3" s="15" t="s">
        <v>4</v>
      </c>
      <c r="E3" s="15" t="s">
        <v>3</v>
      </c>
      <c r="F3" s="15" t="s">
        <v>5</v>
      </c>
      <c r="G3" s="15" t="s">
        <v>6</v>
      </c>
      <c r="H3" s="15" t="s">
        <v>7</v>
      </c>
      <c r="I3" s="15" t="s">
        <v>8</v>
      </c>
    </row>
    <row r="4" spans="2:11" x14ac:dyDescent="0.3">
      <c r="B4">
        <v>1100948</v>
      </c>
      <c r="C4" s="8">
        <v>42981</v>
      </c>
      <c r="D4" s="8" t="s">
        <v>10</v>
      </c>
      <c r="E4" t="s">
        <v>9</v>
      </c>
      <c r="F4" s="7">
        <v>1</v>
      </c>
      <c r="G4" s="7">
        <v>44.95</v>
      </c>
      <c r="H4" s="7">
        <v>0</v>
      </c>
      <c r="I4" s="7">
        <v>44.95</v>
      </c>
      <c r="K4" t="e" cm="1" vm="4">
        <f t="array" ref="K4">_xlfn._xlws.PY(0,1,B3:I201)</f>
        <v>#VALUE!</v>
      </c>
    </row>
    <row r="5" spans="2:11" x14ac:dyDescent="0.3">
      <c r="B5">
        <v>1101096</v>
      </c>
      <c r="C5" s="8">
        <v>43002</v>
      </c>
      <c r="D5" s="8" t="s">
        <v>12</v>
      </c>
      <c r="E5" t="s">
        <v>11</v>
      </c>
      <c r="F5" s="7">
        <v>10</v>
      </c>
      <c r="G5" s="7">
        <v>4.99</v>
      </c>
      <c r="H5" s="7">
        <v>0.99800000000000011</v>
      </c>
      <c r="I5" s="7">
        <v>48.902000000000008</v>
      </c>
    </row>
    <row r="6" spans="2:11" x14ac:dyDescent="0.3">
      <c r="B6">
        <v>1101138</v>
      </c>
      <c r="C6" s="8">
        <v>43009</v>
      </c>
      <c r="D6" s="8" t="s">
        <v>13</v>
      </c>
      <c r="E6" t="s">
        <v>11</v>
      </c>
      <c r="F6" s="7">
        <v>4</v>
      </c>
      <c r="G6" s="7">
        <v>250</v>
      </c>
      <c r="H6" s="7">
        <v>50</v>
      </c>
      <c r="I6" s="7">
        <v>950</v>
      </c>
      <c r="K6" t="e" cm="1" vm="6">
        <f t="array" ref="K6">_xlfn._xlws.PY(5,1)</f>
        <v>#VALUE!</v>
      </c>
    </row>
    <row r="7" spans="2:11" x14ac:dyDescent="0.3">
      <c r="B7">
        <v>1101158</v>
      </c>
      <c r="C7" s="8">
        <v>43011</v>
      </c>
      <c r="D7" s="8" t="s">
        <v>13</v>
      </c>
      <c r="E7" t="s">
        <v>9</v>
      </c>
      <c r="F7" s="7">
        <v>1</v>
      </c>
      <c r="G7" s="7">
        <v>250</v>
      </c>
      <c r="H7" s="7">
        <v>0</v>
      </c>
      <c r="I7" s="7">
        <v>250</v>
      </c>
    </row>
    <row r="8" spans="2:11" x14ac:dyDescent="0.3">
      <c r="B8">
        <v>1101181</v>
      </c>
      <c r="C8" s="8">
        <v>43017</v>
      </c>
      <c r="D8" s="8" t="s">
        <v>14</v>
      </c>
      <c r="E8" t="s">
        <v>9</v>
      </c>
      <c r="F8" s="7">
        <v>1</v>
      </c>
      <c r="G8" s="7">
        <v>13.99</v>
      </c>
      <c r="H8" s="7">
        <v>0</v>
      </c>
      <c r="I8" s="7">
        <v>13.99</v>
      </c>
      <c r="K8" t="e" cm="1" vm="7">
        <f t="array" ref="K8">_xlfn._xlws.PY(4,1)</f>
        <v>#VALUE!</v>
      </c>
    </row>
    <row r="9" spans="2:11" x14ac:dyDescent="0.3">
      <c r="B9">
        <v>1101354</v>
      </c>
      <c r="C9" s="8">
        <v>43039</v>
      </c>
      <c r="D9" s="8" t="s">
        <v>10</v>
      </c>
      <c r="E9" t="s">
        <v>11</v>
      </c>
      <c r="F9" s="7">
        <v>8</v>
      </c>
      <c r="G9" s="7">
        <v>49</v>
      </c>
      <c r="H9" s="7">
        <v>9.8000000000000007</v>
      </c>
      <c r="I9" s="7">
        <v>382.2</v>
      </c>
    </row>
    <row r="10" spans="2:11" x14ac:dyDescent="0.3">
      <c r="B10">
        <v>1101475</v>
      </c>
      <c r="C10" s="8">
        <v>43057</v>
      </c>
      <c r="D10" s="8" t="s">
        <v>15</v>
      </c>
      <c r="E10" t="s">
        <v>9</v>
      </c>
      <c r="F10" s="7">
        <v>1</v>
      </c>
      <c r="G10" s="7">
        <v>599</v>
      </c>
      <c r="H10" s="7">
        <v>0</v>
      </c>
      <c r="I10" s="7">
        <v>599</v>
      </c>
    </row>
    <row r="11" spans="2:11" x14ac:dyDescent="0.3">
      <c r="B11">
        <v>1101495</v>
      </c>
      <c r="C11" s="8">
        <v>43061</v>
      </c>
      <c r="D11" s="8" t="s">
        <v>15</v>
      </c>
      <c r="E11" t="s">
        <v>11</v>
      </c>
      <c r="F11" s="7">
        <v>13</v>
      </c>
      <c r="G11" s="7">
        <v>899</v>
      </c>
      <c r="H11" s="7">
        <v>179.8</v>
      </c>
      <c r="I11" s="7">
        <v>11507.2</v>
      </c>
    </row>
    <row r="12" spans="2:11" x14ac:dyDescent="0.3">
      <c r="B12">
        <v>1101685</v>
      </c>
      <c r="C12" s="8">
        <v>43087</v>
      </c>
      <c r="D12" s="8" t="s">
        <v>16</v>
      </c>
      <c r="E12" t="s">
        <v>9</v>
      </c>
      <c r="F12" s="7">
        <v>1</v>
      </c>
      <c r="G12" s="7">
        <v>119</v>
      </c>
      <c r="H12" s="6">
        <v>0</v>
      </c>
      <c r="I12" s="7">
        <v>119</v>
      </c>
    </row>
    <row r="13" spans="2:11" x14ac:dyDescent="0.3">
      <c r="B13">
        <v>1101743</v>
      </c>
      <c r="C13" s="8">
        <v>43096</v>
      </c>
      <c r="D13" s="8" t="s">
        <v>16</v>
      </c>
      <c r="E13" t="s">
        <v>11</v>
      </c>
      <c r="F13" s="7">
        <v>6</v>
      </c>
      <c r="G13" s="7">
        <v>179</v>
      </c>
      <c r="H13" s="7">
        <v>35.800000000000004</v>
      </c>
      <c r="I13" s="7">
        <v>1038.2</v>
      </c>
    </row>
    <row r="14" spans="2:11" x14ac:dyDescent="0.3">
      <c r="B14">
        <v>1101825</v>
      </c>
      <c r="C14" s="8">
        <v>43108</v>
      </c>
      <c r="D14" s="8" t="s">
        <v>17</v>
      </c>
      <c r="E14" t="s">
        <v>11</v>
      </c>
      <c r="F14" s="7">
        <v>4</v>
      </c>
      <c r="G14" s="7">
        <v>189</v>
      </c>
      <c r="H14" s="7">
        <v>37.800000000000004</v>
      </c>
      <c r="I14" s="7">
        <v>718.2</v>
      </c>
    </row>
    <row r="15" spans="2:11" x14ac:dyDescent="0.3">
      <c r="B15">
        <v>1101839</v>
      </c>
      <c r="C15" s="8">
        <v>43109</v>
      </c>
      <c r="D15" s="8" t="s">
        <v>10</v>
      </c>
      <c r="E15" t="s">
        <v>11</v>
      </c>
      <c r="F15" s="7">
        <v>8</v>
      </c>
      <c r="G15" s="7">
        <v>29.99</v>
      </c>
      <c r="H15" s="7">
        <v>5.9980000000000002</v>
      </c>
      <c r="I15" s="7">
        <v>233.922</v>
      </c>
    </row>
    <row r="16" spans="2:11" x14ac:dyDescent="0.3">
      <c r="B16">
        <v>1101902</v>
      </c>
      <c r="C16" s="8">
        <v>43119</v>
      </c>
      <c r="D16" s="8" t="s">
        <v>12</v>
      </c>
      <c r="E16" t="s">
        <v>11</v>
      </c>
      <c r="F16" s="7">
        <v>5</v>
      </c>
      <c r="G16" s="7">
        <v>7.99</v>
      </c>
      <c r="H16" s="7">
        <v>1.5980000000000001</v>
      </c>
      <c r="I16" s="7">
        <v>38.352000000000004</v>
      </c>
    </row>
    <row r="17" spans="2:9" x14ac:dyDescent="0.3">
      <c r="B17">
        <v>1101926</v>
      </c>
      <c r="C17" s="8">
        <v>43122</v>
      </c>
      <c r="D17" s="8" t="s">
        <v>10</v>
      </c>
      <c r="E17" t="s">
        <v>11</v>
      </c>
      <c r="F17" s="7">
        <v>6</v>
      </c>
      <c r="G17" s="7">
        <v>29.99</v>
      </c>
      <c r="H17" s="7">
        <v>5.9980000000000002</v>
      </c>
      <c r="I17" s="7">
        <v>173.94200000000001</v>
      </c>
    </row>
    <row r="18" spans="2:9" x14ac:dyDescent="0.3">
      <c r="B18">
        <v>1101945</v>
      </c>
      <c r="C18" s="8">
        <v>43125</v>
      </c>
      <c r="D18" s="8" t="s">
        <v>14</v>
      </c>
      <c r="E18" t="s">
        <v>9</v>
      </c>
      <c r="F18" s="7">
        <v>1</v>
      </c>
      <c r="G18" s="7">
        <v>19.989999999999998</v>
      </c>
      <c r="H18" s="7">
        <v>0</v>
      </c>
      <c r="I18" s="7">
        <v>19.989999999999998</v>
      </c>
    </row>
    <row r="19" spans="2:9" x14ac:dyDescent="0.3">
      <c r="B19">
        <v>1102052</v>
      </c>
      <c r="C19" s="8">
        <v>43143</v>
      </c>
      <c r="D19" s="8" t="s">
        <v>12</v>
      </c>
      <c r="E19" t="s">
        <v>11</v>
      </c>
      <c r="F19" s="7">
        <v>6</v>
      </c>
      <c r="G19" s="7">
        <v>4.99</v>
      </c>
      <c r="H19" s="7">
        <v>0.99800000000000011</v>
      </c>
      <c r="I19" s="7">
        <v>28.942</v>
      </c>
    </row>
    <row r="20" spans="2:9" x14ac:dyDescent="0.3">
      <c r="B20">
        <v>1102085</v>
      </c>
      <c r="C20" s="8">
        <v>43149</v>
      </c>
      <c r="D20" s="8" t="s">
        <v>14</v>
      </c>
      <c r="E20" t="s">
        <v>11</v>
      </c>
      <c r="F20" s="7">
        <v>9</v>
      </c>
      <c r="G20" s="7">
        <v>24.99</v>
      </c>
      <c r="H20" s="7">
        <v>4.9980000000000002</v>
      </c>
      <c r="I20" s="7">
        <v>219.91200000000001</v>
      </c>
    </row>
    <row r="21" spans="2:9" x14ac:dyDescent="0.3">
      <c r="B21">
        <v>1102227</v>
      </c>
      <c r="C21" s="8">
        <v>43168</v>
      </c>
      <c r="D21" s="8" t="s">
        <v>14</v>
      </c>
      <c r="E21" t="s">
        <v>11</v>
      </c>
      <c r="F21" s="7">
        <v>15</v>
      </c>
      <c r="G21" s="7">
        <v>13.99</v>
      </c>
      <c r="H21" s="7">
        <v>2.798</v>
      </c>
      <c r="I21" s="7">
        <v>207.05199999999999</v>
      </c>
    </row>
    <row r="22" spans="2:9" x14ac:dyDescent="0.3">
      <c r="B22">
        <v>1102305</v>
      </c>
      <c r="C22" s="8">
        <v>43180</v>
      </c>
      <c r="D22" s="8" t="s">
        <v>10</v>
      </c>
      <c r="E22" t="s">
        <v>11</v>
      </c>
      <c r="F22" s="7">
        <v>9</v>
      </c>
      <c r="G22" s="7">
        <v>37.99</v>
      </c>
      <c r="H22" s="7">
        <v>7.5980000000000008</v>
      </c>
      <c r="I22" s="7">
        <v>334.31200000000001</v>
      </c>
    </row>
    <row r="23" spans="2:9" x14ac:dyDescent="0.3">
      <c r="B23">
        <v>1102306</v>
      </c>
      <c r="C23" s="8">
        <v>43180</v>
      </c>
      <c r="D23" s="8" t="s">
        <v>14</v>
      </c>
      <c r="E23" t="s">
        <v>11</v>
      </c>
      <c r="F23" s="7">
        <v>6</v>
      </c>
      <c r="G23" s="7">
        <v>16.989999999999998</v>
      </c>
      <c r="H23" s="7">
        <v>3.3979999999999997</v>
      </c>
      <c r="I23" s="7">
        <v>98.542000000000002</v>
      </c>
    </row>
    <row r="24" spans="2:9" x14ac:dyDescent="0.3">
      <c r="B24">
        <v>1102439</v>
      </c>
      <c r="C24" s="8">
        <v>43201</v>
      </c>
      <c r="D24" s="8" t="s">
        <v>12</v>
      </c>
      <c r="E24" t="s">
        <v>11</v>
      </c>
      <c r="F24" s="7">
        <v>9</v>
      </c>
      <c r="G24" s="7">
        <v>8.99</v>
      </c>
      <c r="H24" s="7">
        <v>1.798</v>
      </c>
      <c r="I24" s="7">
        <v>79.111999999999995</v>
      </c>
    </row>
    <row r="25" spans="2:9" x14ac:dyDescent="0.3">
      <c r="B25">
        <v>1102469</v>
      </c>
      <c r="C25" s="8">
        <v>43205</v>
      </c>
      <c r="D25" s="8" t="s">
        <v>15</v>
      </c>
      <c r="E25" t="s">
        <v>9</v>
      </c>
      <c r="F25" s="7">
        <v>2</v>
      </c>
      <c r="G25" s="7">
        <v>699</v>
      </c>
      <c r="H25" s="7">
        <v>0</v>
      </c>
      <c r="I25" s="7">
        <v>1398</v>
      </c>
    </row>
    <row r="26" spans="2:9" x14ac:dyDescent="0.3">
      <c r="B26">
        <v>1102578</v>
      </c>
      <c r="C26" s="8">
        <v>43222</v>
      </c>
      <c r="D26" s="8" t="s">
        <v>13</v>
      </c>
      <c r="E26" t="s">
        <v>11</v>
      </c>
      <c r="F26" s="7">
        <v>5</v>
      </c>
      <c r="G26" s="7">
        <v>450</v>
      </c>
      <c r="H26" s="7">
        <v>90</v>
      </c>
      <c r="I26" s="7">
        <v>2160</v>
      </c>
    </row>
    <row r="27" spans="2:9" x14ac:dyDescent="0.3">
      <c r="B27">
        <v>1102680</v>
      </c>
      <c r="C27" s="8">
        <v>43235</v>
      </c>
      <c r="D27" s="8" t="s">
        <v>12</v>
      </c>
      <c r="E27" t="s">
        <v>9</v>
      </c>
      <c r="F27" s="7">
        <v>1</v>
      </c>
      <c r="G27" s="7">
        <v>8.99</v>
      </c>
      <c r="H27" s="7">
        <v>0</v>
      </c>
      <c r="I27" s="7">
        <v>8.99</v>
      </c>
    </row>
    <row r="28" spans="2:9" x14ac:dyDescent="0.3">
      <c r="B28">
        <v>1102697</v>
      </c>
      <c r="C28" s="8">
        <v>43238</v>
      </c>
      <c r="D28" s="8" t="s">
        <v>12</v>
      </c>
      <c r="E28" t="s">
        <v>9</v>
      </c>
      <c r="F28" s="7">
        <v>1</v>
      </c>
      <c r="G28" s="7">
        <v>12</v>
      </c>
      <c r="H28" s="7">
        <v>0</v>
      </c>
      <c r="I28" s="7">
        <v>12</v>
      </c>
    </row>
    <row r="29" spans="2:9" x14ac:dyDescent="0.3">
      <c r="B29">
        <v>1102745</v>
      </c>
      <c r="C29" s="8">
        <v>43245</v>
      </c>
      <c r="D29" s="8" t="s">
        <v>12</v>
      </c>
      <c r="E29" t="s">
        <v>11</v>
      </c>
      <c r="F29" s="7">
        <v>9</v>
      </c>
      <c r="G29" s="7">
        <v>12</v>
      </c>
      <c r="H29" s="7">
        <v>2.4000000000000004</v>
      </c>
      <c r="I29" s="7">
        <v>105.6</v>
      </c>
    </row>
    <row r="30" spans="2:9" x14ac:dyDescent="0.3">
      <c r="B30">
        <v>1103009</v>
      </c>
      <c r="C30" s="8">
        <v>43282</v>
      </c>
      <c r="D30" s="8" t="s">
        <v>17</v>
      </c>
      <c r="E30" t="s">
        <v>11</v>
      </c>
      <c r="F30" s="7">
        <v>8</v>
      </c>
      <c r="G30" s="7">
        <v>189</v>
      </c>
      <c r="H30" s="7">
        <v>37.800000000000004</v>
      </c>
      <c r="I30" s="7">
        <v>1474.2</v>
      </c>
    </row>
    <row r="31" spans="2:9" x14ac:dyDescent="0.3">
      <c r="B31">
        <v>1103056</v>
      </c>
      <c r="C31" s="8">
        <v>43288</v>
      </c>
      <c r="D31" s="8" t="s">
        <v>10</v>
      </c>
      <c r="E31" t="s">
        <v>9</v>
      </c>
      <c r="F31" s="7">
        <v>1</v>
      </c>
      <c r="G31" s="7">
        <v>49.95</v>
      </c>
      <c r="H31" s="7">
        <v>0</v>
      </c>
      <c r="I31" s="7">
        <v>49.95</v>
      </c>
    </row>
    <row r="32" spans="2:9" x14ac:dyDescent="0.3">
      <c r="B32">
        <v>1103206</v>
      </c>
      <c r="C32" s="8">
        <v>43307</v>
      </c>
      <c r="D32" s="8" t="s">
        <v>17</v>
      </c>
      <c r="E32" t="s">
        <v>9</v>
      </c>
      <c r="F32" s="7">
        <v>1</v>
      </c>
      <c r="G32" s="7">
        <v>189</v>
      </c>
      <c r="H32" s="7">
        <v>0</v>
      </c>
      <c r="I32" s="7">
        <v>189</v>
      </c>
    </row>
    <row r="33" spans="2:9" x14ac:dyDescent="0.3">
      <c r="B33">
        <v>1103219</v>
      </c>
      <c r="C33" s="8">
        <v>43308</v>
      </c>
      <c r="D33" s="8" t="s">
        <v>16</v>
      </c>
      <c r="E33" t="s">
        <v>11</v>
      </c>
      <c r="F33" s="7">
        <v>53</v>
      </c>
      <c r="G33" s="7">
        <v>69</v>
      </c>
      <c r="H33" s="7">
        <v>13.8</v>
      </c>
      <c r="I33" s="7">
        <v>3643.2</v>
      </c>
    </row>
    <row r="34" spans="2:9" x14ac:dyDescent="0.3">
      <c r="B34">
        <v>1103275</v>
      </c>
      <c r="C34" s="8">
        <v>43315</v>
      </c>
      <c r="D34" s="8" t="s">
        <v>14</v>
      </c>
      <c r="E34" t="s">
        <v>9</v>
      </c>
      <c r="F34" s="7">
        <v>1</v>
      </c>
      <c r="G34" s="7">
        <v>15.5</v>
      </c>
      <c r="H34" s="7">
        <v>0</v>
      </c>
      <c r="I34" s="7">
        <v>15.5</v>
      </c>
    </row>
    <row r="35" spans="2:9" x14ac:dyDescent="0.3">
      <c r="B35">
        <v>1103291</v>
      </c>
      <c r="C35" s="8">
        <v>43317</v>
      </c>
      <c r="D35" s="8" t="s">
        <v>15</v>
      </c>
      <c r="E35" t="s">
        <v>9</v>
      </c>
      <c r="F35" s="7">
        <v>1</v>
      </c>
      <c r="G35" s="7">
        <v>883</v>
      </c>
      <c r="H35" s="7">
        <v>0</v>
      </c>
      <c r="I35" s="7">
        <v>883</v>
      </c>
    </row>
    <row r="36" spans="2:9" x14ac:dyDescent="0.3">
      <c r="B36">
        <v>1103289</v>
      </c>
      <c r="C36" s="8">
        <v>43317</v>
      </c>
      <c r="D36" s="8" t="s">
        <v>14</v>
      </c>
      <c r="E36" t="s">
        <v>9</v>
      </c>
      <c r="F36" s="7">
        <v>1</v>
      </c>
      <c r="G36" s="7">
        <v>16.989999999999998</v>
      </c>
      <c r="H36" s="7">
        <v>0</v>
      </c>
      <c r="I36" s="7">
        <v>16.989999999999998</v>
      </c>
    </row>
    <row r="37" spans="2:9" x14ac:dyDescent="0.3">
      <c r="B37">
        <v>1103301</v>
      </c>
      <c r="C37" s="8">
        <v>43319</v>
      </c>
      <c r="D37" s="8" t="s">
        <v>14</v>
      </c>
      <c r="E37" t="s">
        <v>9</v>
      </c>
      <c r="F37" s="7">
        <v>1</v>
      </c>
      <c r="G37" s="7">
        <v>13.99</v>
      </c>
      <c r="H37" s="7">
        <v>0</v>
      </c>
      <c r="I37" s="7">
        <v>13.99</v>
      </c>
    </row>
    <row r="38" spans="2:9" x14ac:dyDescent="0.3">
      <c r="B38">
        <v>1103413</v>
      </c>
      <c r="C38" s="8">
        <v>43334</v>
      </c>
      <c r="D38" s="8" t="s">
        <v>14</v>
      </c>
      <c r="E38" t="s">
        <v>9</v>
      </c>
      <c r="F38" s="7">
        <v>1</v>
      </c>
      <c r="G38" s="7">
        <v>16.75</v>
      </c>
      <c r="H38" s="7">
        <v>0</v>
      </c>
      <c r="I38" s="7">
        <v>16.75</v>
      </c>
    </row>
    <row r="39" spans="2:9" x14ac:dyDescent="0.3">
      <c r="B39">
        <v>1103565</v>
      </c>
      <c r="C39" s="8">
        <v>43355</v>
      </c>
      <c r="D39" s="8" t="s">
        <v>14</v>
      </c>
      <c r="E39" t="s">
        <v>11</v>
      </c>
      <c r="F39" s="7">
        <v>6</v>
      </c>
      <c r="G39" s="7">
        <v>16.989999999999998</v>
      </c>
      <c r="H39" s="7">
        <v>3.3979999999999997</v>
      </c>
      <c r="I39" s="7">
        <v>98.542000000000002</v>
      </c>
    </row>
    <row r="40" spans="2:9" x14ac:dyDescent="0.3">
      <c r="B40">
        <v>1103780</v>
      </c>
      <c r="C40" s="8">
        <v>43389</v>
      </c>
      <c r="D40" s="8" t="s">
        <v>14</v>
      </c>
      <c r="E40" t="s">
        <v>11</v>
      </c>
      <c r="F40" s="7">
        <v>8</v>
      </c>
      <c r="G40" s="7">
        <v>15.5</v>
      </c>
      <c r="H40" s="7">
        <v>3.1</v>
      </c>
      <c r="I40" s="7">
        <v>120.9</v>
      </c>
    </row>
    <row r="41" spans="2:9" x14ac:dyDescent="0.3">
      <c r="B41">
        <v>1103787</v>
      </c>
      <c r="C41" s="8">
        <v>43390</v>
      </c>
      <c r="D41" s="8" t="s">
        <v>10</v>
      </c>
      <c r="E41" t="s">
        <v>9</v>
      </c>
      <c r="F41" s="7">
        <v>1</v>
      </c>
      <c r="G41" s="7">
        <v>44.95</v>
      </c>
      <c r="H41" s="7">
        <v>0</v>
      </c>
      <c r="I41" s="7">
        <v>44.95</v>
      </c>
    </row>
    <row r="42" spans="2:9" x14ac:dyDescent="0.3">
      <c r="B42">
        <v>1103799</v>
      </c>
      <c r="C42" s="8">
        <v>43391</v>
      </c>
      <c r="D42" s="8" t="s">
        <v>10</v>
      </c>
      <c r="E42" t="s">
        <v>11</v>
      </c>
      <c r="F42" s="7">
        <v>78</v>
      </c>
      <c r="G42" s="7">
        <v>44.95</v>
      </c>
      <c r="H42" s="7">
        <v>8.99</v>
      </c>
      <c r="I42" s="7">
        <v>3497.1100000000006</v>
      </c>
    </row>
    <row r="43" spans="2:9" x14ac:dyDescent="0.3">
      <c r="B43">
        <v>1103887</v>
      </c>
      <c r="C43" s="8">
        <v>43406</v>
      </c>
      <c r="D43" s="8" t="s">
        <v>15</v>
      </c>
      <c r="E43" t="s">
        <v>11</v>
      </c>
      <c r="F43" s="7">
        <v>6</v>
      </c>
      <c r="G43" s="7">
        <v>599</v>
      </c>
      <c r="H43" s="7">
        <v>119.80000000000001</v>
      </c>
      <c r="I43" s="7">
        <v>3474.2</v>
      </c>
    </row>
    <row r="44" spans="2:9" x14ac:dyDescent="0.3">
      <c r="B44">
        <v>1104015</v>
      </c>
      <c r="C44" s="8">
        <v>43424</v>
      </c>
      <c r="D44" s="8" t="s">
        <v>10</v>
      </c>
      <c r="E44" t="s">
        <v>9</v>
      </c>
      <c r="F44" s="7">
        <v>1</v>
      </c>
      <c r="G44" s="7">
        <v>37.99</v>
      </c>
      <c r="H44" s="7">
        <v>0</v>
      </c>
      <c r="I44" s="7">
        <v>37.99</v>
      </c>
    </row>
    <row r="45" spans="2:9" x14ac:dyDescent="0.3">
      <c r="B45">
        <v>1104089</v>
      </c>
      <c r="C45" s="8">
        <v>43438</v>
      </c>
      <c r="D45" s="8" t="s">
        <v>15</v>
      </c>
      <c r="E45" t="s">
        <v>9</v>
      </c>
      <c r="F45" s="7">
        <v>1</v>
      </c>
      <c r="G45" s="7">
        <v>599</v>
      </c>
      <c r="H45" s="7">
        <v>0</v>
      </c>
      <c r="I45" s="7">
        <v>599</v>
      </c>
    </row>
    <row r="46" spans="2:9" x14ac:dyDescent="0.3">
      <c r="B46">
        <v>1104242</v>
      </c>
      <c r="C46" s="8">
        <v>43457</v>
      </c>
      <c r="D46" s="8" t="s">
        <v>17</v>
      </c>
      <c r="E46" t="s">
        <v>9</v>
      </c>
      <c r="F46" s="7">
        <v>1</v>
      </c>
      <c r="G46" s="7">
        <v>222</v>
      </c>
      <c r="H46" s="7">
        <v>0</v>
      </c>
      <c r="I46" s="7">
        <v>222</v>
      </c>
    </row>
    <row r="47" spans="2:9" x14ac:dyDescent="0.3">
      <c r="B47">
        <v>1104323</v>
      </c>
      <c r="C47" s="8">
        <v>43467</v>
      </c>
      <c r="D47" s="8" t="s">
        <v>13</v>
      </c>
      <c r="E47" t="s">
        <v>11</v>
      </c>
      <c r="F47" s="7">
        <v>5</v>
      </c>
      <c r="G47" s="7">
        <v>499</v>
      </c>
      <c r="H47" s="7">
        <v>99.800000000000011</v>
      </c>
      <c r="I47" s="7">
        <v>2395.1999999999998</v>
      </c>
    </row>
    <row r="48" spans="2:9" x14ac:dyDescent="0.3">
      <c r="B48">
        <v>1104380</v>
      </c>
      <c r="C48" s="8">
        <v>43476</v>
      </c>
      <c r="D48" s="8" t="s">
        <v>12</v>
      </c>
      <c r="E48" t="s">
        <v>11</v>
      </c>
      <c r="F48" s="7">
        <v>8</v>
      </c>
      <c r="G48" s="7">
        <v>4.99</v>
      </c>
      <c r="H48" s="7">
        <v>0.99800000000000011</v>
      </c>
      <c r="I48" s="7">
        <v>38.922000000000004</v>
      </c>
    </row>
    <row r="49" spans="2:9" x14ac:dyDescent="0.3">
      <c r="B49">
        <v>1104420</v>
      </c>
      <c r="C49" s="8">
        <v>43484</v>
      </c>
      <c r="D49" s="8" t="s">
        <v>14</v>
      </c>
      <c r="E49" t="s">
        <v>9</v>
      </c>
      <c r="F49" s="7">
        <v>4</v>
      </c>
      <c r="G49" s="7">
        <v>19.989999999999998</v>
      </c>
      <c r="H49" s="7">
        <v>0</v>
      </c>
      <c r="I49" s="7">
        <v>79.959999999999994</v>
      </c>
    </row>
    <row r="50" spans="2:9" x14ac:dyDescent="0.3">
      <c r="B50">
        <v>1104433</v>
      </c>
      <c r="C50" s="8">
        <v>43486</v>
      </c>
      <c r="D50" s="8" t="s">
        <v>14</v>
      </c>
      <c r="E50" t="s">
        <v>9</v>
      </c>
      <c r="F50" s="7">
        <v>1</v>
      </c>
      <c r="G50" s="7">
        <v>24.99</v>
      </c>
      <c r="H50" s="7">
        <v>0</v>
      </c>
      <c r="I50" s="7">
        <v>24.99</v>
      </c>
    </row>
    <row r="51" spans="2:9" x14ac:dyDescent="0.3">
      <c r="B51">
        <v>1104457</v>
      </c>
      <c r="C51" s="8">
        <v>43491</v>
      </c>
      <c r="D51" s="8" t="s">
        <v>10</v>
      </c>
      <c r="E51" t="s">
        <v>9</v>
      </c>
      <c r="F51" s="7">
        <v>1</v>
      </c>
      <c r="G51" s="7">
        <v>49</v>
      </c>
      <c r="H51" s="7">
        <v>0</v>
      </c>
      <c r="I51" s="7">
        <v>49</v>
      </c>
    </row>
    <row r="52" spans="2:9" x14ac:dyDescent="0.3">
      <c r="B52">
        <v>1104578</v>
      </c>
      <c r="C52" s="8">
        <v>43512</v>
      </c>
      <c r="D52" s="8" t="s">
        <v>17</v>
      </c>
      <c r="E52" t="s">
        <v>11</v>
      </c>
      <c r="F52" s="7">
        <v>8</v>
      </c>
      <c r="G52" s="7">
        <v>225</v>
      </c>
      <c r="H52" s="7">
        <v>45</v>
      </c>
      <c r="I52" s="7">
        <v>1755</v>
      </c>
    </row>
    <row r="53" spans="2:9" x14ac:dyDescent="0.3">
      <c r="B53">
        <v>1104768</v>
      </c>
      <c r="C53" s="8">
        <v>43537</v>
      </c>
      <c r="D53" s="8" t="s">
        <v>16</v>
      </c>
      <c r="E53" t="s">
        <v>9</v>
      </c>
      <c r="F53" s="7">
        <v>1</v>
      </c>
      <c r="G53" s="7">
        <v>179</v>
      </c>
      <c r="H53" s="7">
        <v>0</v>
      </c>
      <c r="I53" s="7">
        <v>179</v>
      </c>
    </row>
    <row r="54" spans="2:9" x14ac:dyDescent="0.3">
      <c r="B54">
        <v>1104819</v>
      </c>
      <c r="C54" s="8">
        <v>43544</v>
      </c>
      <c r="D54" s="8" t="s">
        <v>14</v>
      </c>
      <c r="E54" t="s">
        <v>11</v>
      </c>
      <c r="F54" s="7">
        <v>7</v>
      </c>
      <c r="G54" s="7">
        <v>17.5</v>
      </c>
      <c r="H54" s="7">
        <v>3.5</v>
      </c>
      <c r="I54" s="7">
        <v>119</v>
      </c>
    </row>
    <row r="55" spans="2:9" x14ac:dyDescent="0.3">
      <c r="B55">
        <v>1104837</v>
      </c>
      <c r="C55" s="8">
        <v>43547</v>
      </c>
      <c r="D55" s="8" t="s">
        <v>16</v>
      </c>
      <c r="E55" t="s">
        <v>11</v>
      </c>
      <c r="F55" s="7">
        <v>13</v>
      </c>
      <c r="G55" s="7">
        <v>89</v>
      </c>
      <c r="H55" s="7">
        <v>17.8</v>
      </c>
      <c r="I55" s="7">
        <v>1139.2</v>
      </c>
    </row>
    <row r="56" spans="2:9" x14ac:dyDescent="0.3">
      <c r="B56">
        <v>1104910</v>
      </c>
      <c r="C56" s="8">
        <v>43557</v>
      </c>
      <c r="D56" s="8" t="s">
        <v>13</v>
      </c>
      <c r="E56" t="s">
        <v>11</v>
      </c>
      <c r="F56" s="7">
        <v>93</v>
      </c>
      <c r="G56" s="7">
        <v>455</v>
      </c>
      <c r="H56" s="7">
        <v>91</v>
      </c>
      <c r="I56" s="7">
        <v>42224</v>
      </c>
    </row>
    <row r="57" spans="2:9" x14ac:dyDescent="0.3">
      <c r="B57">
        <v>1104934</v>
      </c>
      <c r="C57" s="8">
        <v>43560</v>
      </c>
      <c r="D57" s="8" t="s">
        <v>13</v>
      </c>
      <c r="E57" t="s">
        <v>9</v>
      </c>
      <c r="F57" s="7">
        <v>1</v>
      </c>
      <c r="G57" s="7">
        <v>395</v>
      </c>
      <c r="H57" s="7">
        <v>0</v>
      </c>
      <c r="I57" s="7">
        <v>395</v>
      </c>
    </row>
    <row r="58" spans="2:9" x14ac:dyDescent="0.3">
      <c r="B58">
        <v>1105086</v>
      </c>
      <c r="C58" s="8">
        <v>43582</v>
      </c>
      <c r="D58" s="8" t="s">
        <v>12</v>
      </c>
      <c r="E58" t="s">
        <v>11</v>
      </c>
      <c r="F58" s="7">
        <v>9</v>
      </c>
      <c r="G58" s="7">
        <v>4.99</v>
      </c>
      <c r="H58" s="7">
        <v>0.99800000000000011</v>
      </c>
      <c r="I58" s="7">
        <v>43.912000000000006</v>
      </c>
    </row>
    <row r="59" spans="2:9" x14ac:dyDescent="0.3">
      <c r="B59">
        <v>1105153</v>
      </c>
      <c r="C59" s="8">
        <v>43593</v>
      </c>
      <c r="D59" s="8" t="s">
        <v>15</v>
      </c>
      <c r="E59" t="s">
        <v>11</v>
      </c>
      <c r="F59" s="7">
        <v>40</v>
      </c>
      <c r="G59" s="7">
        <v>883</v>
      </c>
      <c r="H59" s="7">
        <v>176.60000000000002</v>
      </c>
      <c r="I59" s="7">
        <v>35143.4</v>
      </c>
    </row>
    <row r="60" spans="2:9" x14ac:dyDescent="0.3">
      <c r="B60">
        <v>1105307</v>
      </c>
      <c r="C60" s="8">
        <v>43616</v>
      </c>
      <c r="D60" s="8" t="s">
        <v>14</v>
      </c>
      <c r="E60" t="s">
        <v>11</v>
      </c>
      <c r="F60" s="7">
        <v>5</v>
      </c>
      <c r="G60" s="7">
        <v>12.99</v>
      </c>
      <c r="H60" s="7">
        <v>2.5980000000000003</v>
      </c>
      <c r="I60" s="7">
        <v>62.352000000000004</v>
      </c>
    </row>
    <row r="61" spans="2:9" x14ac:dyDescent="0.3">
      <c r="B61">
        <v>1105330</v>
      </c>
      <c r="C61" s="8">
        <v>43619</v>
      </c>
      <c r="D61" s="8" t="s">
        <v>14</v>
      </c>
      <c r="E61" t="s">
        <v>9</v>
      </c>
      <c r="F61" s="7">
        <v>1</v>
      </c>
      <c r="G61" s="7">
        <v>24.99</v>
      </c>
      <c r="H61" s="7">
        <v>0</v>
      </c>
      <c r="I61" s="7">
        <v>24.99</v>
      </c>
    </row>
    <row r="62" spans="2:9" x14ac:dyDescent="0.3">
      <c r="B62">
        <v>1105362</v>
      </c>
      <c r="C62" s="8">
        <v>43624</v>
      </c>
      <c r="D62" s="8" t="s">
        <v>14</v>
      </c>
      <c r="E62" t="s">
        <v>9</v>
      </c>
      <c r="F62" s="7">
        <v>1</v>
      </c>
      <c r="G62" s="7">
        <v>24.95</v>
      </c>
      <c r="H62" s="7">
        <v>0</v>
      </c>
      <c r="I62" s="7">
        <v>24.95</v>
      </c>
    </row>
    <row r="63" spans="2:9" x14ac:dyDescent="0.3">
      <c r="B63">
        <v>1105372</v>
      </c>
      <c r="C63" s="8">
        <v>43625</v>
      </c>
      <c r="D63" s="8" t="s">
        <v>12</v>
      </c>
      <c r="E63" t="s">
        <v>9</v>
      </c>
      <c r="F63" s="7">
        <v>1</v>
      </c>
      <c r="G63" s="7">
        <v>12</v>
      </c>
      <c r="H63" s="7">
        <v>0</v>
      </c>
      <c r="I63" s="7">
        <v>12</v>
      </c>
    </row>
    <row r="64" spans="2:9" x14ac:dyDescent="0.3">
      <c r="B64">
        <v>1105403</v>
      </c>
      <c r="C64" s="8">
        <v>43629</v>
      </c>
      <c r="D64" s="8" t="s">
        <v>12</v>
      </c>
      <c r="E64" t="s">
        <v>11</v>
      </c>
      <c r="F64" s="7">
        <v>5</v>
      </c>
      <c r="G64" s="7">
        <v>8.99</v>
      </c>
      <c r="H64" s="7">
        <v>1.798</v>
      </c>
      <c r="I64" s="7">
        <v>43.152000000000001</v>
      </c>
    </row>
    <row r="65" spans="2:9" x14ac:dyDescent="0.3">
      <c r="B65">
        <v>1105409</v>
      </c>
      <c r="C65" s="8">
        <v>43630</v>
      </c>
      <c r="D65" s="8" t="s">
        <v>10</v>
      </c>
      <c r="E65" t="s">
        <v>9</v>
      </c>
      <c r="F65" s="7">
        <v>1</v>
      </c>
      <c r="G65" s="7">
        <v>36.99</v>
      </c>
      <c r="H65" s="7">
        <v>0</v>
      </c>
      <c r="I65" s="7">
        <v>36.99</v>
      </c>
    </row>
    <row r="66" spans="2:9" x14ac:dyDescent="0.3">
      <c r="B66">
        <v>1105415</v>
      </c>
      <c r="C66" s="8">
        <v>43631</v>
      </c>
      <c r="D66" s="8" t="s">
        <v>12</v>
      </c>
      <c r="E66" t="s">
        <v>11</v>
      </c>
      <c r="F66" s="7">
        <v>8</v>
      </c>
      <c r="G66" s="7">
        <v>9.99</v>
      </c>
      <c r="H66" s="7">
        <v>1.9980000000000002</v>
      </c>
      <c r="I66" s="7">
        <v>77.921999999999997</v>
      </c>
    </row>
    <row r="67" spans="2:9" x14ac:dyDescent="0.3">
      <c r="B67">
        <v>1105534</v>
      </c>
      <c r="C67" s="8">
        <v>43649</v>
      </c>
      <c r="D67" s="8" t="s">
        <v>10</v>
      </c>
      <c r="E67" t="s">
        <v>11</v>
      </c>
      <c r="F67" s="7">
        <v>8</v>
      </c>
      <c r="G67" s="7">
        <v>37.99</v>
      </c>
      <c r="H67" s="7">
        <v>7.5980000000000008</v>
      </c>
      <c r="I67" s="7">
        <v>296.322</v>
      </c>
    </row>
    <row r="68" spans="2:9" x14ac:dyDescent="0.3">
      <c r="B68">
        <v>1105626</v>
      </c>
      <c r="C68" s="8">
        <v>43663</v>
      </c>
      <c r="D68" s="8" t="s">
        <v>10</v>
      </c>
      <c r="E68" t="s">
        <v>11</v>
      </c>
      <c r="F68" s="7">
        <v>5</v>
      </c>
      <c r="G68" s="7">
        <v>42.99</v>
      </c>
      <c r="H68" s="7">
        <v>8.5980000000000008</v>
      </c>
      <c r="I68" s="7">
        <v>206.352</v>
      </c>
    </row>
    <row r="69" spans="2:9" x14ac:dyDescent="0.3">
      <c r="B69">
        <v>1105640</v>
      </c>
      <c r="C69" s="8">
        <v>43665</v>
      </c>
      <c r="D69" s="8" t="s">
        <v>16</v>
      </c>
      <c r="E69" t="s">
        <v>11</v>
      </c>
      <c r="F69" s="7">
        <v>12</v>
      </c>
      <c r="G69" s="7">
        <v>89</v>
      </c>
      <c r="H69" s="7">
        <v>17.8</v>
      </c>
      <c r="I69" s="7">
        <v>1050.2</v>
      </c>
    </row>
    <row r="70" spans="2:9" x14ac:dyDescent="0.3">
      <c r="B70">
        <v>1105701</v>
      </c>
      <c r="C70" s="8">
        <v>43676</v>
      </c>
      <c r="D70" s="8" t="s">
        <v>14</v>
      </c>
      <c r="E70" t="s">
        <v>11</v>
      </c>
      <c r="F70" s="7">
        <v>11</v>
      </c>
      <c r="G70" s="7">
        <v>20.95</v>
      </c>
      <c r="H70" s="7">
        <v>4.1900000000000004</v>
      </c>
      <c r="I70" s="7">
        <v>226.26</v>
      </c>
    </row>
    <row r="71" spans="2:9" x14ac:dyDescent="0.3">
      <c r="B71">
        <v>1105770</v>
      </c>
      <c r="C71" s="8">
        <v>43686</v>
      </c>
      <c r="D71" s="8" t="s">
        <v>13</v>
      </c>
      <c r="E71" t="s">
        <v>11</v>
      </c>
      <c r="F71" s="7">
        <v>65</v>
      </c>
      <c r="G71" s="7">
        <v>250</v>
      </c>
      <c r="H71" s="7">
        <v>50</v>
      </c>
      <c r="I71" s="7">
        <v>16200</v>
      </c>
    </row>
    <row r="72" spans="2:9" x14ac:dyDescent="0.3">
      <c r="B72">
        <v>1105783</v>
      </c>
      <c r="C72" s="8">
        <v>43688</v>
      </c>
      <c r="D72" s="8" t="s">
        <v>12</v>
      </c>
      <c r="E72" t="s">
        <v>11</v>
      </c>
      <c r="F72" s="7">
        <v>101</v>
      </c>
      <c r="G72" s="7">
        <v>10.99</v>
      </c>
      <c r="H72" s="7">
        <v>2.198</v>
      </c>
      <c r="I72" s="7">
        <v>1107.7919999999999</v>
      </c>
    </row>
    <row r="73" spans="2:9" x14ac:dyDescent="0.3">
      <c r="B73">
        <v>1105866</v>
      </c>
      <c r="C73" s="8">
        <v>43700</v>
      </c>
      <c r="D73" s="8" t="s">
        <v>12</v>
      </c>
      <c r="E73" t="s">
        <v>9</v>
      </c>
      <c r="F73" s="7">
        <v>1</v>
      </c>
      <c r="G73" s="7">
        <v>4.99</v>
      </c>
      <c r="H73" s="7">
        <v>0</v>
      </c>
      <c r="I73" s="7">
        <v>4.99</v>
      </c>
    </row>
    <row r="74" spans="2:9" x14ac:dyDescent="0.3">
      <c r="B74">
        <v>1105890</v>
      </c>
      <c r="C74" s="8">
        <v>43704</v>
      </c>
      <c r="D74" s="8" t="s">
        <v>12</v>
      </c>
      <c r="E74" t="s">
        <v>11</v>
      </c>
      <c r="F74" s="7">
        <v>10</v>
      </c>
      <c r="G74" s="7">
        <v>11.99</v>
      </c>
      <c r="H74" s="7">
        <v>2.3980000000000001</v>
      </c>
      <c r="I74" s="7">
        <v>117.50200000000001</v>
      </c>
    </row>
    <row r="75" spans="2:9" x14ac:dyDescent="0.3">
      <c r="B75">
        <v>1100988</v>
      </c>
      <c r="C75" s="8">
        <v>42987</v>
      </c>
      <c r="D75" s="8" t="s">
        <v>14</v>
      </c>
      <c r="E75" t="s">
        <v>11</v>
      </c>
      <c r="F75" s="7">
        <v>11</v>
      </c>
      <c r="G75" s="7">
        <v>19.989999999999998</v>
      </c>
      <c r="H75" s="7">
        <v>3.9979999999999998</v>
      </c>
      <c r="I75" s="7">
        <v>215.892</v>
      </c>
    </row>
    <row r="76" spans="2:9" x14ac:dyDescent="0.3">
      <c r="B76">
        <v>1100994</v>
      </c>
      <c r="C76" s="8">
        <v>42988</v>
      </c>
      <c r="D76" s="8" t="s">
        <v>13</v>
      </c>
      <c r="E76" t="s">
        <v>11</v>
      </c>
      <c r="F76" s="7">
        <v>8</v>
      </c>
      <c r="G76" s="7">
        <v>450</v>
      </c>
      <c r="H76" s="7">
        <v>90</v>
      </c>
      <c r="I76" s="7">
        <v>3510</v>
      </c>
    </row>
    <row r="77" spans="2:9" x14ac:dyDescent="0.3">
      <c r="B77">
        <v>1101070</v>
      </c>
      <c r="C77" s="8">
        <v>42998</v>
      </c>
      <c r="D77" s="8" t="s">
        <v>12</v>
      </c>
      <c r="E77" t="s">
        <v>11</v>
      </c>
      <c r="F77" s="7">
        <v>8</v>
      </c>
      <c r="G77" s="7">
        <v>7.99</v>
      </c>
      <c r="H77" s="7">
        <v>1.5980000000000001</v>
      </c>
      <c r="I77" s="7">
        <v>62.322000000000003</v>
      </c>
    </row>
    <row r="78" spans="2:9" x14ac:dyDescent="0.3">
      <c r="B78">
        <v>1101101</v>
      </c>
      <c r="C78" s="8">
        <v>43003</v>
      </c>
      <c r="D78" s="8" t="s">
        <v>10</v>
      </c>
      <c r="E78" t="s">
        <v>11</v>
      </c>
      <c r="F78" s="7">
        <v>10</v>
      </c>
      <c r="G78" s="7">
        <v>42.99</v>
      </c>
      <c r="H78" s="7">
        <v>8.5980000000000008</v>
      </c>
      <c r="I78" s="7">
        <v>421.30200000000002</v>
      </c>
    </row>
    <row r="79" spans="2:9" x14ac:dyDescent="0.3">
      <c r="B79">
        <v>1101167</v>
      </c>
      <c r="C79" s="8">
        <v>43013</v>
      </c>
      <c r="D79" s="8" t="s">
        <v>14</v>
      </c>
      <c r="E79" t="s">
        <v>9</v>
      </c>
      <c r="F79" s="7">
        <v>1</v>
      </c>
      <c r="G79" s="7">
        <v>24.95</v>
      </c>
      <c r="H79" s="7">
        <v>0</v>
      </c>
      <c r="I79" s="7">
        <v>24.95</v>
      </c>
    </row>
    <row r="80" spans="2:9" x14ac:dyDescent="0.3">
      <c r="B80">
        <v>1101311</v>
      </c>
      <c r="C80" s="8">
        <v>43033</v>
      </c>
      <c r="D80" s="8" t="s">
        <v>15</v>
      </c>
      <c r="E80" t="s">
        <v>11</v>
      </c>
      <c r="F80" s="7">
        <v>8</v>
      </c>
      <c r="G80" s="7">
        <v>699</v>
      </c>
      <c r="H80" s="7">
        <v>139.80000000000001</v>
      </c>
      <c r="I80" s="7">
        <v>5452.2</v>
      </c>
    </row>
    <row r="81" spans="2:9" x14ac:dyDescent="0.3">
      <c r="B81">
        <v>1101388</v>
      </c>
      <c r="C81" s="8">
        <v>43043</v>
      </c>
      <c r="D81" s="8" t="s">
        <v>14</v>
      </c>
      <c r="E81" t="s">
        <v>9</v>
      </c>
      <c r="F81" s="7">
        <v>1</v>
      </c>
      <c r="G81" s="7">
        <v>23.99</v>
      </c>
      <c r="H81" s="7">
        <v>0</v>
      </c>
      <c r="I81" s="7">
        <v>23.99</v>
      </c>
    </row>
    <row r="82" spans="2:9" x14ac:dyDescent="0.3">
      <c r="B82">
        <v>1101575</v>
      </c>
      <c r="C82" s="8">
        <v>43072</v>
      </c>
      <c r="D82" s="8" t="s">
        <v>12</v>
      </c>
      <c r="E82" t="s">
        <v>11</v>
      </c>
      <c r="F82" s="7">
        <v>6</v>
      </c>
      <c r="G82" s="7">
        <v>10.99</v>
      </c>
      <c r="H82" s="7">
        <v>2.198</v>
      </c>
      <c r="I82" s="7">
        <v>63.741999999999997</v>
      </c>
    </row>
    <row r="83" spans="2:9" x14ac:dyDescent="0.3">
      <c r="B83">
        <v>1101622</v>
      </c>
      <c r="C83" s="8">
        <v>43077</v>
      </c>
      <c r="D83" s="8" t="s">
        <v>17</v>
      </c>
      <c r="E83" t="s">
        <v>11</v>
      </c>
      <c r="F83" s="7">
        <v>60</v>
      </c>
      <c r="G83" s="7">
        <v>214</v>
      </c>
      <c r="H83" s="7">
        <v>42.800000000000004</v>
      </c>
      <c r="I83" s="7">
        <v>12797.2</v>
      </c>
    </row>
    <row r="84" spans="2:9" x14ac:dyDescent="0.3">
      <c r="B84">
        <v>1101697</v>
      </c>
      <c r="C84" s="8">
        <v>43090</v>
      </c>
      <c r="D84" s="8" t="s">
        <v>14</v>
      </c>
      <c r="E84" t="s">
        <v>9</v>
      </c>
      <c r="F84" s="7">
        <v>1</v>
      </c>
      <c r="G84" s="7">
        <v>24.99</v>
      </c>
      <c r="H84" s="7">
        <v>0</v>
      </c>
      <c r="I84" s="7">
        <v>24.99</v>
      </c>
    </row>
    <row r="85" spans="2:9" x14ac:dyDescent="0.3">
      <c r="B85">
        <v>1101798</v>
      </c>
      <c r="C85" s="8">
        <v>43104</v>
      </c>
      <c r="D85" s="8" t="s">
        <v>14</v>
      </c>
      <c r="E85" t="s">
        <v>11</v>
      </c>
      <c r="F85" s="7">
        <v>11</v>
      </c>
      <c r="G85" s="7">
        <v>19.5</v>
      </c>
      <c r="H85" s="7">
        <v>3.9000000000000004</v>
      </c>
      <c r="I85" s="7">
        <v>210.6</v>
      </c>
    </row>
    <row r="86" spans="2:9" x14ac:dyDescent="0.3">
      <c r="B86">
        <v>1101932</v>
      </c>
      <c r="C86" s="8">
        <v>43123</v>
      </c>
      <c r="D86" s="8" t="s">
        <v>17</v>
      </c>
      <c r="E86" t="s">
        <v>11</v>
      </c>
      <c r="F86" s="7">
        <v>10</v>
      </c>
      <c r="G86" s="7">
        <v>190</v>
      </c>
      <c r="H86" s="7">
        <v>38</v>
      </c>
      <c r="I86" s="7">
        <v>1862</v>
      </c>
    </row>
    <row r="87" spans="2:9" x14ac:dyDescent="0.3">
      <c r="B87">
        <v>1102041</v>
      </c>
      <c r="C87" s="8">
        <v>43141</v>
      </c>
      <c r="D87" s="8" t="s">
        <v>16</v>
      </c>
      <c r="E87" t="s">
        <v>11</v>
      </c>
      <c r="F87" s="7">
        <v>8</v>
      </c>
      <c r="G87" s="7">
        <v>179</v>
      </c>
      <c r="H87" s="7">
        <v>35.800000000000004</v>
      </c>
      <c r="I87" s="7">
        <v>1396.2</v>
      </c>
    </row>
    <row r="88" spans="2:9" x14ac:dyDescent="0.3">
      <c r="B88">
        <v>1102152</v>
      </c>
      <c r="C88" s="8">
        <v>43159</v>
      </c>
      <c r="D88" s="8" t="s">
        <v>17</v>
      </c>
      <c r="E88" t="s">
        <v>9</v>
      </c>
      <c r="F88" s="7">
        <v>2</v>
      </c>
      <c r="G88" s="7">
        <v>225</v>
      </c>
      <c r="H88" s="7">
        <v>0</v>
      </c>
      <c r="I88" s="7">
        <v>450</v>
      </c>
    </row>
    <row r="89" spans="2:9" x14ac:dyDescent="0.3">
      <c r="B89">
        <v>1102188</v>
      </c>
      <c r="C89" s="8">
        <v>43164</v>
      </c>
      <c r="D89" s="8" t="s">
        <v>10</v>
      </c>
      <c r="E89" t="s">
        <v>11</v>
      </c>
      <c r="F89" s="7">
        <v>10</v>
      </c>
      <c r="G89" s="7">
        <v>29.99</v>
      </c>
      <c r="H89" s="7">
        <v>5.9980000000000002</v>
      </c>
      <c r="I89" s="7">
        <v>293.90199999999999</v>
      </c>
    </row>
    <row r="90" spans="2:9" x14ac:dyDescent="0.3">
      <c r="B90">
        <v>1102216</v>
      </c>
      <c r="C90" s="8">
        <v>43168</v>
      </c>
      <c r="D90" s="8" t="s">
        <v>17</v>
      </c>
      <c r="E90" t="s">
        <v>9</v>
      </c>
      <c r="F90" s="7">
        <v>2</v>
      </c>
      <c r="G90" s="7">
        <v>189</v>
      </c>
      <c r="H90" s="7">
        <v>0</v>
      </c>
      <c r="I90" s="7">
        <v>378</v>
      </c>
    </row>
    <row r="91" spans="2:9" x14ac:dyDescent="0.3">
      <c r="B91">
        <v>1102238</v>
      </c>
      <c r="C91" s="8">
        <v>43170</v>
      </c>
      <c r="D91" s="8" t="s">
        <v>12</v>
      </c>
      <c r="E91" t="s">
        <v>9</v>
      </c>
      <c r="F91" s="7">
        <v>1</v>
      </c>
      <c r="G91" s="7">
        <v>7.99</v>
      </c>
      <c r="H91" s="7">
        <v>0</v>
      </c>
      <c r="I91" s="7">
        <v>7.99</v>
      </c>
    </row>
    <row r="92" spans="2:9" x14ac:dyDescent="0.3">
      <c r="B92">
        <v>1102313</v>
      </c>
      <c r="C92" s="8">
        <v>43181</v>
      </c>
      <c r="D92" s="8" t="s">
        <v>16</v>
      </c>
      <c r="E92" t="s">
        <v>11</v>
      </c>
      <c r="F92" s="7">
        <v>8</v>
      </c>
      <c r="G92" s="7">
        <v>69</v>
      </c>
      <c r="H92" s="7">
        <v>13.8</v>
      </c>
      <c r="I92" s="7">
        <v>538.20000000000005</v>
      </c>
    </row>
    <row r="93" spans="2:9" x14ac:dyDescent="0.3">
      <c r="B93">
        <v>1102437</v>
      </c>
      <c r="C93" s="8">
        <v>43201</v>
      </c>
      <c r="D93" s="8" t="s">
        <v>15</v>
      </c>
      <c r="E93" t="s">
        <v>9</v>
      </c>
      <c r="F93" s="7">
        <v>1</v>
      </c>
      <c r="G93" s="7">
        <v>899</v>
      </c>
      <c r="H93" s="7">
        <v>0</v>
      </c>
      <c r="I93" s="7">
        <v>899</v>
      </c>
    </row>
    <row r="94" spans="2:9" x14ac:dyDescent="0.3">
      <c r="B94">
        <v>1102460</v>
      </c>
      <c r="C94" s="8">
        <v>43204</v>
      </c>
      <c r="D94" s="8" t="s">
        <v>10</v>
      </c>
      <c r="E94" t="s">
        <v>11</v>
      </c>
      <c r="F94" s="7">
        <v>9</v>
      </c>
      <c r="G94" s="7">
        <v>44.95</v>
      </c>
      <c r="H94" s="7">
        <v>8.99</v>
      </c>
      <c r="I94" s="7">
        <v>395.56</v>
      </c>
    </row>
    <row r="95" spans="2:9" x14ac:dyDescent="0.3">
      <c r="B95">
        <v>1102589</v>
      </c>
      <c r="C95" s="8">
        <v>43224</v>
      </c>
      <c r="D95" s="8" t="s">
        <v>10</v>
      </c>
      <c r="E95" t="s">
        <v>11</v>
      </c>
      <c r="F95" s="7">
        <v>7</v>
      </c>
      <c r="G95" s="7">
        <v>37.99</v>
      </c>
      <c r="H95" s="7">
        <v>7.5980000000000008</v>
      </c>
      <c r="I95" s="7">
        <v>258.33199999999999</v>
      </c>
    </row>
    <row r="96" spans="2:9" x14ac:dyDescent="0.3">
      <c r="B96">
        <v>1102666</v>
      </c>
      <c r="C96" s="8">
        <v>43234</v>
      </c>
      <c r="D96" s="8" t="s">
        <v>12</v>
      </c>
      <c r="E96" t="s">
        <v>11</v>
      </c>
      <c r="F96" s="7">
        <v>6</v>
      </c>
      <c r="G96" s="7">
        <v>4.99</v>
      </c>
      <c r="H96" s="7">
        <v>0.99800000000000011</v>
      </c>
      <c r="I96" s="7">
        <v>28.942</v>
      </c>
    </row>
    <row r="97" spans="2:9" x14ac:dyDescent="0.3">
      <c r="B97">
        <v>1102698</v>
      </c>
      <c r="C97" s="8">
        <v>43238</v>
      </c>
      <c r="D97" s="8" t="s">
        <v>12</v>
      </c>
      <c r="E97" t="s">
        <v>11</v>
      </c>
      <c r="F97" s="7">
        <v>53</v>
      </c>
      <c r="G97" s="7">
        <v>8.99</v>
      </c>
      <c r="H97" s="7">
        <v>1.798</v>
      </c>
      <c r="I97" s="7">
        <v>474.67200000000003</v>
      </c>
    </row>
    <row r="98" spans="2:9" x14ac:dyDescent="0.3">
      <c r="B98">
        <v>1102692</v>
      </c>
      <c r="C98" s="8">
        <v>43238</v>
      </c>
      <c r="D98" s="8" t="s">
        <v>16</v>
      </c>
      <c r="E98" t="s">
        <v>9</v>
      </c>
      <c r="F98" s="7">
        <v>2</v>
      </c>
      <c r="G98" s="7">
        <v>167</v>
      </c>
      <c r="H98" s="7">
        <v>0</v>
      </c>
      <c r="I98" s="7">
        <v>334</v>
      </c>
    </row>
    <row r="99" spans="2:9" x14ac:dyDescent="0.3">
      <c r="B99">
        <v>1102713</v>
      </c>
      <c r="C99" s="8">
        <v>43241</v>
      </c>
      <c r="D99" s="8" t="s">
        <v>15</v>
      </c>
      <c r="E99" t="s">
        <v>9</v>
      </c>
      <c r="F99" s="7">
        <v>2</v>
      </c>
      <c r="G99" s="7">
        <v>899</v>
      </c>
      <c r="H99" s="7">
        <v>0</v>
      </c>
      <c r="I99" s="7">
        <v>1798</v>
      </c>
    </row>
    <row r="100" spans="2:9" x14ac:dyDescent="0.3">
      <c r="B100">
        <v>1102847</v>
      </c>
      <c r="C100" s="8">
        <v>43262</v>
      </c>
      <c r="D100" s="8" t="s">
        <v>12</v>
      </c>
      <c r="E100" t="s">
        <v>9</v>
      </c>
      <c r="F100" s="7">
        <v>1</v>
      </c>
      <c r="G100" s="7">
        <v>12</v>
      </c>
      <c r="H100" s="7">
        <v>0</v>
      </c>
      <c r="I100" s="7">
        <v>12</v>
      </c>
    </row>
    <row r="101" spans="2:9" x14ac:dyDescent="0.3">
      <c r="B101">
        <v>1102894</v>
      </c>
      <c r="C101" s="8">
        <v>43268</v>
      </c>
      <c r="D101" s="8" t="s">
        <v>14</v>
      </c>
      <c r="E101" t="s">
        <v>9</v>
      </c>
      <c r="F101" s="7">
        <v>1</v>
      </c>
      <c r="G101" s="7">
        <v>23.99</v>
      </c>
      <c r="H101" s="7">
        <v>0</v>
      </c>
      <c r="I101" s="7">
        <v>23.99</v>
      </c>
    </row>
    <row r="102" spans="2:9" x14ac:dyDescent="0.3">
      <c r="B102">
        <v>1102902</v>
      </c>
      <c r="C102" s="8">
        <v>43268</v>
      </c>
      <c r="D102" s="8" t="s">
        <v>14</v>
      </c>
      <c r="E102" t="s">
        <v>11</v>
      </c>
      <c r="F102" s="7">
        <v>11</v>
      </c>
      <c r="G102" s="7">
        <v>13.99</v>
      </c>
      <c r="H102" s="7">
        <v>2.798</v>
      </c>
      <c r="I102" s="7">
        <v>151.09200000000001</v>
      </c>
    </row>
    <row r="103" spans="2:9" x14ac:dyDescent="0.3">
      <c r="B103">
        <v>1103033</v>
      </c>
      <c r="C103" s="8">
        <v>43285</v>
      </c>
      <c r="D103" s="8" t="s">
        <v>10</v>
      </c>
      <c r="E103" t="s">
        <v>11</v>
      </c>
      <c r="F103" s="7">
        <v>5</v>
      </c>
      <c r="G103" s="7">
        <v>37.99</v>
      </c>
      <c r="H103" s="7">
        <v>7.5980000000000008</v>
      </c>
      <c r="I103" s="7">
        <v>182.352</v>
      </c>
    </row>
    <row r="104" spans="2:9" x14ac:dyDescent="0.3">
      <c r="B104">
        <v>1103106</v>
      </c>
      <c r="C104" s="8">
        <v>43294</v>
      </c>
      <c r="D104" s="8" t="s">
        <v>14</v>
      </c>
      <c r="E104" t="s">
        <v>11</v>
      </c>
      <c r="F104" s="7">
        <v>8</v>
      </c>
      <c r="G104" s="7">
        <v>13.99</v>
      </c>
      <c r="H104" s="7">
        <v>2.798</v>
      </c>
      <c r="I104" s="7">
        <v>109.122</v>
      </c>
    </row>
    <row r="105" spans="2:9" x14ac:dyDescent="0.3">
      <c r="B105">
        <v>1103128</v>
      </c>
      <c r="C105" s="8">
        <v>43297</v>
      </c>
      <c r="D105" s="8" t="s">
        <v>12</v>
      </c>
      <c r="E105" t="s">
        <v>9</v>
      </c>
      <c r="F105" s="7">
        <v>1</v>
      </c>
      <c r="G105" s="7">
        <v>11.99</v>
      </c>
      <c r="H105" s="7">
        <v>0</v>
      </c>
      <c r="I105" s="7">
        <v>11.99</v>
      </c>
    </row>
    <row r="106" spans="2:9" x14ac:dyDescent="0.3">
      <c r="B106">
        <v>1103158</v>
      </c>
      <c r="C106" s="8">
        <v>43300</v>
      </c>
      <c r="D106" s="8" t="s">
        <v>14</v>
      </c>
      <c r="E106" t="s">
        <v>11</v>
      </c>
      <c r="F106" s="7">
        <v>9</v>
      </c>
      <c r="G106" s="7">
        <v>15.5</v>
      </c>
      <c r="H106" s="7">
        <v>3.1</v>
      </c>
      <c r="I106" s="7">
        <v>136.4</v>
      </c>
    </row>
    <row r="107" spans="2:9" x14ac:dyDescent="0.3">
      <c r="B107">
        <v>1103237</v>
      </c>
      <c r="C107" s="8">
        <v>43310</v>
      </c>
      <c r="D107" s="8" t="s">
        <v>16</v>
      </c>
      <c r="E107" t="s">
        <v>9</v>
      </c>
      <c r="F107" s="7">
        <v>4</v>
      </c>
      <c r="G107" s="7">
        <v>58.95</v>
      </c>
      <c r="H107" s="7">
        <v>0</v>
      </c>
      <c r="I107" s="7">
        <v>235.8</v>
      </c>
    </row>
    <row r="108" spans="2:9" x14ac:dyDescent="0.3">
      <c r="B108">
        <v>1103427</v>
      </c>
      <c r="C108" s="8">
        <v>43336</v>
      </c>
      <c r="D108" s="8" t="s">
        <v>12</v>
      </c>
      <c r="E108" t="s">
        <v>9</v>
      </c>
      <c r="F108" s="7">
        <v>1</v>
      </c>
      <c r="G108" s="7">
        <v>4.99</v>
      </c>
      <c r="H108" s="7">
        <v>0</v>
      </c>
      <c r="I108" s="7">
        <v>4.99</v>
      </c>
    </row>
    <row r="109" spans="2:9" x14ac:dyDescent="0.3">
      <c r="B109">
        <v>1103506</v>
      </c>
      <c r="C109" s="8">
        <v>43347</v>
      </c>
      <c r="D109" s="8" t="s">
        <v>14</v>
      </c>
      <c r="E109" t="s">
        <v>11</v>
      </c>
      <c r="F109" s="7">
        <v>58</v>
      </c>
      <c r="G109" s="7">
        <v>23.99</v>
      </c>
      <c r="H109" s="7">
        <v>4.798</v>
      </c>
      <c r="I109" s="7">
        <v>1386.6219999999998</v>
      </c>
    </row>
    <row r="110" spans="2:9" x14ac:dyDescent="0.3">
      <c r="B110">
        <v>1103577</v>
      </c>
      <c r="C110" s="8">
        <v>43357</v>
      </c>
      <c r="D110" s="8" t="s">
        <v>14</v>
      </c>
      <c r="E110" t="s">
        <v>11</v>
      </c>
      <c r="F110" s="7">
        <v>36</v>
      </c>
      <c r="G110" s="7">
        <v>16.989999999999998</v>
      </c>
      <c r="H110" s="7">
        <v>3.3979999999999997</v>
      </c>
      <c r="I110" s="7">
        <v>608.24199999999996</v>
      </c>
    </row>
    <row r="111" spans="2:9" x14ac:dyDescent="0.3">
      <c r="B111">
        <v>1103610</v>
      </c>
      <c r="C111" s="8">
        <v>43363</v>
      </c>
      <c r="D111" s="8" t="s">
        <v>16</v>
      </c>
      <c r="E111" t="s">
        <v>11</v>
      </c>
      <c r="F111" s="7">
        <v>8</v>
      </c>
      <c r="G111" s="7">
        <v>69</v>
      </c>
      <c r="H111" s="7">
        <v>13.8</v>
      </c>
      <c r="I111" s="7">
        <v>538.20000000000005</v>
      </c>
    </row>
    <row r="112" spans="2:9" x14ac:dyDescent="0.3">
      <c r="B112">
        <v>1103717</v>
      </c>
      <c r="C112" s="8">
        <v>43378</v>
      </c>
      <c r="D112" s="8" t="s">
        <v>17</v>
      </c>
      <c r="E112" t="s">
        <v>9</v>
      </c>
      <c r="F112" s="7">
        <v>2</v>
      </c>
      <c r="G112" s="7">
        <v>189</v>
      </c>
      <c r="H112" s="7">
        <v>0</v>
      </c>
      <c r="I112" s="7">
        <v>378</v>
      </c>
    </row>
    <row r="113" spans="2:9" x14ac:dyDescent="0.3">
      <c r="B113">
        <v>1103744</v>
      </c>
      <c r="C113" s="8">
        <v>43384</v>
      </c>
      <c r="D113" s="8" t="s">
        <v>17</v>
      </c>
      <c r="E113" t="s">
        <v>9</v>
      </c>
      <c r="F113" s="7">
        <v>1</v>
      </c>
      <c r="G113" s="7">
        <v>189</v>
      </c>
      <c r="H113" s="7">
        <v>0</v>
      </c>
      <c r="I113" s="7">
        <v>189</v>
      </c>
    </row>
    <row r="114" spans="2:9" x14ac:dyDescent="0.3">
      <c r="B114">
        <v>1103774</v>
      </c>
      <c r="C114" s="8">
        <v>43388</v>
      </c>
      <c r="D114" s="8" t="s">
        <v>17</v>
      </c>
      <c r="E114" t="s">
        <v>11</v>
      </c>
      <c r="F114" s="7">
        <v>7</v>
      </c>
      <c r="G114" s="7">
        <v>225</v>
      </c>
      <c r="H114" s="7">
        <v>45</v>
      </c>
      <c r="I114" s="7">
        <v>1530</v>
      </c>
    </row>
    <row r="115" spans="2:9" x14ac:dyDescent="0.3">
      <c r="B115">
        <v>1103798</v>
      </c>
      <c r="C115" s="8">
        <v>43391</v>
      </c>
      <c r="D115" s="8" t="s">
        <v>14</v>
      </c>
      <c r="E115" t="s">
        <v>9</v>
      </c>
      <c r="F115" s="7">
        <v>1</v>
      </c>
      <c r="G115" s="7">
        <v>23.99</v>
      </c>
      <c r="H115" s="7">
        <v>0</v>
      </c>
      <c r="I115" s="7">
        <v>23.99</v>
      </c>
    </row>
    <row r="116" spans="2:9" x14ac:dyDescent="0.3">
      <c r="B116">
        <v>1103930</v>
      </c>
      <c r="C116" s="8">
        <v>43413</v>
      </c>
      <c r="D116" s="8" t="s">
        <v>10</v>
      </c>
      <c r="E116" t="s">
        <v>9</v>
      </c>
      <c r="F116" s="7">
        <v>1</v>
      </c>
      <c r="G116" s="7">
        <v>44.95</v>
      </c>
      <c r="H116" s="7">
        <v>0</v>
      </c>
      <c r="I116" s="7">
        <v>44.95</v>
      </c>
    </row>
    <row r="117" spans="2:9" x14ac:dyDescent="0.3">
      <c r="B117">
        <v>1104092</v>
      </c>
      <c r="C117" s="8">
        <v>43438</v>
      </c>
      <c r="D117" s="8" t="s">
        <v>10</v>
      </c>
      <c r="E117" t="s">
        <v>9</v>
      </c>
      <c r="F117" s="7">
        <v>1</v>
      </c>
      <c r="G117" s="7">
        <v>34.99</v>
      </c>
      <c r="H117" s="7">
        <v>0</v>
      </c>
      <c r="I117" s="7">
        <v>34.99</v>
      </c>
    </row>
    <row r="118" spans="2:9" x14ac:dyDescent="0.3">
      <c r="B118">
        <v>1104101</v>
      </c>
      <c r="C118" s="8">
        <v>43439</v>
      </c>
      <c r="D118" s="8" t="s">
        <v>17</v>
      </c>
      <c r="E118" t="s">
        <v>9</v>
      </c>
      <c r="F118" s="7">
        <v>1</v>
      </c>
      <c r="G118" s="7">
        <v>190</v>
      </c>
      <c r="H118" s="7">
        <v>0</v>
      </c>
      <c r="I118" s="7">
        <v>190</v>
      </c>
    </row>
    <row r="119" spans="2:9" x14ac:dyDescent="0.3">
      <c r="B119">
        <v>1104219</v>
      </c>
      <c r="C119" s="8">
        <v>43455</v>
      </c>
      <c r="D119" s="8" t="s">
        <v>14</v>
      </c>
      <c r="E119" t="s">
        <v>11</v>
      </c>
      <c r="F119" s="7">
        <v>12</v>
      </c>
      <c r="G119" s="7">
        <v>24.95</v>
      </c>
      <c r="H119" s="7">
        <v>4.99</v>
      </c>
      <c r="I119" s="7">
        <v>294.40999999999997</v>
      </c>
    </row>
    <row r="120" spans="2:9" x14ac:dyDescent="0.3">
      <c r="B120">
        <v>1104390</v>
      </c>
      <c r="C120" s="8">
        <v>43478</v>
      </c>
      <c r="D120" s="8" t="s">
        <v>14</v>
      </c>
      <c r="E120" t="s">
        <v>11</v>
      </c>
      <c r="F120" s="7">
        <v>7</v>
      </c>
      <c r="G120" s="7">
        <v>16.989999999999998</v>
      </c>
      <c r="H120" s="7">
        <v>3.3979999999999997</v>
      </c>
      <c r="I120" s="7">
        <v>115.532</v>
      </c>
    </row>
    <row r="121" spans="2:9" x14ac:dyDescent="0.3">
      <c r="B121">
        <v>1104495</v>
      </c>
      <c r="C121" s="8">
        <v>43498</v>
      </c>
      <c r="D121" s="8" t="s">
        <v>13</v>
      </c>
      <c r="E121" t="s">
        <v>9</v>
      </c>
      <c r="F121" s="7">
        <v>1</v>
      </c>
      <c r="G121" s="7">
        <v>455</v>
      </c>
      <c r="H121" s="7">
        <v>0</v>
      </c>
      <c r="I121" s="7">
        <v>455</v>
      </c>
    </row>
    <row r="122" spans="2:9" x14ac:dyDescent="0.3">
      <c r="B122">
        <v>1104553</v>
      </c>
      <c r="C122" s="8">
        <v>43508</v>
      </c>
      <c r="D122" s="8" t="s">
        <v>10</v>
      </c>
      <c r="E122" t="s">
        <v>9</v>
      </c>
      <c r="F122" s="7">
        <v>1</v>
      </c>
      <c r="G122" s="7">
        <v>49</v>
      </c>
      <c r="H122" s="7">
        <v>0</v>
      </c>
      <c r="I122" s="7">
        <v>49</v>
      </c>
    </row>
    <row r="123" spans="2:9" x14ac:dyDescent="0.3">
      <c r="B123">
        <v>1104570</v>
      </c>
      <c r="C123" s="8">
        <v>43510</v>
      </c>
      <c r="D123" s="8" t="s">
        <v>13</v>
      </c>
      <c r="E123" t="s">
        <v>9</v>
      </c>
      <c r="F123" s="7">
        <v>60</v>
      </c>
      <c r="G123" s="7">
        <v>450</v>
      </c>
      <c r="H123" s="7">
        <v>0</v>
      </c>
      <c r="I123" s="7">
        <v>27000</v>
      </c>
    </row>
    <row r="124" spans="2:9" x14ac:dyDescent="0.3">
      <c r="B124">
        <v>1104719</v>
      </c>
      <c r="C124" s="8">
        <v>43530</v>
      </c>
      <c r="D124" s="8" t="s">
        <v>10</v>
      </c>
      <c r="E124" t="s">
        <v>9</v>
      </c>
      <c r="F124" s="7">
        <v>1</v>
      </c>
      <c r="G124" s="7">
        <v>49</v>
      </c>
      <c r="H124" s="7">
        <v>0</v>
      </c>
      <c r="I124" s="7">
        <v>49</v>
      </c>
    </row>
    <row r="125" spans="2:9" x14ac:dyDescent="0.3">
      <c r="B125">
        <v>1104726</v>
      </c>
      <c r="C125" s="8">
        <v>43530</v>
      </c>
      <c r="D125" s="8" t="s">
        <v>10</v>
      </c>
      <c r="E125" t="s">
        <v>9</v>
      </c>
      <c r="F125" s="7">
        <v>1</v>
      </c>
      <c r="G125" s="7">
        <v>29.99</v>
      </c>
      <c r="H125" s="7">
        <v>0</v>
      </c>
      <c r="I125" s="7">
        <v>29.99</v>
      </c>
    </row>
    <row r="126" spans="2:9" x14ac:dyDescent="0.3">
      <c r="B126">
        <v>1104875</v>
      </c>
      <c r="C126" s="8">
        <v>43552</v>
      </c>
      <c r="D126" s="8" t="s">
        <v>15</v>
      </c>
      <c r="E126" t="s">
        <v>11</v>
      </c>
      <c r="F126" s="7">
        <v>4</v>
      </c>
      <c r="G126" s="7">
        <v>684</v>
      </c>
      <c r="H126" s="7">
        <v>136.80000000000001</v>
      </c>
      <c r="I126" s="7">
        <v>2599.1999999999998</v>
      </c>
    </row>
    <row r="127" spans="2:9" x14ac:dyDescent="0.3">
      <c r="B127">
        <v>1105041</v>
      </c>
      <c r="C127" s="8">
        <v>43575</v>
      </c>
      <c r="D127" s="8" t="s">
        <v>14</v>
      </c>
      <c r="E127" t="s">
        <v>9</v>
      </c>
      <c r="F127" s="7">
        <v>1</v>
      </c>
      <c r="G127" s="7">
        <v>23.99</v>
      </c>
      <c r="H127" s="7">
        <v>0</v>
      </c>
      <c r="I127" s="7">
        <v>23.99</v>
      </c>
    </row>
    <row r="128" spans="2:9" x14ac:dyDescent="0.3">
      <c r="B128">
        <v>1105218</v>
      </c>
      <c r="C128" s="8">
        <v>43604</v>
      </c>
      <c r="D128" s="8" t="s">
        <v>10</v>
      </c>
      <c r="E128" t="s">
        <v>9</v>
      </c>
      <c r="F128" s="7">
        <v>1</v>
      </c>
      <c r="G128" s="7">
        <v>28.99</v>
      </c>
      <c r="H128" s="7">
        <v>0</v>
      </c>
      <c r="I128" s="7">
        <v>28.99</v>
      </c>
    </row>
    <row r="129" spans="2:9" x14ac:dyDescent="0.3">
      <c r="B129">
        <v>1105267</v>
      </c>
      <c r="C129" s="8">
        <v>43611</v>
      </c>
      <c r="D129" s="8" t="s">
        <v>16</v>
      </c>
      <c r="E129" t="s">
        <v>11</v>
      </c>
      <c r="F129" s="7">
        <v>7</v>
      </c>
      <c r="G129" s="7">
        <v>179</v>
      </c>
      <c r="H129" s="7">
        <v>35.800000000000004</v>
      </c>
      <c r="I129" s="7">
        <v>1217.2</v>
      </c>
    </row>
    <row r="130" spans="2:9" x14ac:dyDescent="0.3">
      <c r="B130">
        <v>1105276</v>
      </c>
      <c r="C130" s="8">
        <v>43612</v>
      </c>
      <c r="D130" s="8" t="s">
        <v>15</v>
      </c>
      <c r="E130" t="s">
        <v>11</v>
      </c>
      <c r="F130" s="7">
        <v>5</v>
      </c>
      <c r="G130" s="7">
        <v>699</v>
      </c>
      <c r="H130" s="7">
        <v>139.80000000000001</v>
      </c>
      <c r="I130" s="7">
        <v>3355.2</v>
      </c>
    </row>
    <row r="131" spans="2:9" x14ac:dyDescent="0.3">
      <c r="B131">
        <v>1105297</v>
      </c>
      <c r="C131" s="8">
        <v>43615</v>
      </c>
      <c r="D131" s="8" t="s">
        <v>15</v>
      </c>
      <c r="E131" t="s">
        <v>11</v>
      </c>
      <c r="F131" s="7">
        <v>11</v>
      </c>
      <c r="G131" s="7">
        <v>699</v>
      </c>
      <c r="H131" s="7">
        <v>139.80000000000001</v>
      </c>
      <c r="I131" s="7">
        <v>7549.2</v>
      </c>
    </row>
    <row r="132" spans="2:9" x14ac:dyDescent="0.3">
      <c r="B132">
        <v>1105456</v>
      </c>
      <c r="C132" s="8">
        <v>43637</v>
      </c>
      <c r="D132" s="8" t="s">
        <v>17</v>
      </c>
      <c r="E132" t="s">
        <v>9</v>
      </c>
      <c r="F132" s="7">
        <v>1</v>
      </c>
      <c r="G132" s="7">
        <v>214</v>
      </c>
      <c r="H132" s="7">
        <v>0</v>
      </c>
      <c r="I132" s="7">
        <v>214</v>
      </c>
    </row>
    <row r="133" spans="2:9" x14ac:dyDescent="0.3">
      <c r="B133">
        <v>1105644</v>
      </c>
      <c r="C133" s="8">
        <v>43665</v>
      </c>
      <c r="D133" s="8" t="s">
        <v>10</v>
      </c>
      <c r="E133" t="s">
        <v>11</v>
      </c>
      <c r="F133" s="7">
        <v>92</v>
      </c>
      <c r="G133" s="7">
        <v>49.95</v>
      </c>
      <c r="H133" s="7">
        <v>9.990000000000002</v>
      </c>
      <c r="I133" s="7">
        <v>4585.4100000000008</v>
      </c>
    </row>
    <row r="134" spans="2:9" x14ac:dyDescent="0.3">
      <c r="B134">
        <v>1105693</v>
      </c>
      <c r="C134" s="8">
        <v>43675</v>
      </c>
      <c r="D134" s="8" t="s">
        <v>16</v>
      </c>
      <c r="E134" t="s">
        <v>11</v>
      </c>
      <c r="F134" s="7">
        <v>10</v>
      </c>
      <c r="G134" s="7">
        <v>119</v>
      </c>
      <c r="H134" s="7">
        <v>23.8</v>
      </c>
      <c r="I134" s="7">
        <v>1166.2</v>
      </c>
    </row>
    <row r="135" spans="2:9" x14ac:dyDescent="0.3">
      <c r="B135">
        <v>1105777</v>
      </c>
      <c r="C135" s="8">
        <v>43688</v>
      </c>
      <c r="D135" s="8" t="s">
        <v>10</v>
      </c>
      <c r="E135" t="s">
        <v>9</v>
      </c>
      <c r="F135" s="7">
        <v>1</v>
      </c>
      <c r="G135" s="7">
        <v>32.950000000000003</v>
      </c>
      <c r="H135" s="7">
        <v>0</v>
      </c>
      <c r="I135" s="7">
        <v>32.950000000000003</v>
      </c>
    </row>
    <row r="136" spans="2:9" x14ac:dyDescent="0.3">
      <c r="B136">
        <v>1105797</v>
      </c>
      <c r="C136" s="8">
        <v>43690</v>
      </c>
      <c r="D136" s="8" t="s">
        <v>12</v>
      </c>
      <c r="E136" t="s">
        <v>9</v>
      </c>
      <c r="F136" s="7">
        <v>1</v>
      </c>
      <c r="G136" s="7">
        <v>11.99</v>
      </c>
      <c r="H136" s="7">
        <v>0</v>
      </c>
      <c r="I136" s="7">
        <v>11.99</v>
      </c>
    </row>
    <row r="137" spans="2:9" x14ac:dyDescent="0.3">
      <c r="B137">
        <v>1105837</v>
      </c>
      <c r="C137" s="8">
        <v>43696</v>
      </c>
      <c r="D137" s="8" t="s">
        <v>10</v>
      </c>
      <c r="E137" t="s">
        <v>11</v>
      </c>
      <c r="F137" s="7">
        <v>8</v>
      </c>
      <c r="G137" s="7">
        <v>32.950000000000003</v>
      </c>
      <c r="H137" s="7">
        <v>6.5900000000000007</v>
      </c>
      <c r="I137" s="7">
        <v>257.01000000000005</v>
      </c>
    </row>
    <row r="138" spans="2:9" x14ac:dyDescent="0.3">
      <c r="B138">
        <v>1100946</v>
      </c>
      <c r="C138" s="8">
        <v>42981</v>
      </c>
      <c r="D138" s="8" t="s">
        <v>14</v>
      </c>
      <c r="E138" t="s">
        <v>11</v>
      </c>
      <c r="F138" s="7">
        <v>7</v>
      </c>
      <c r="G138" s="7">
        <v>19.989999999999998</v>
      </c>
      <c r="H138" s="7">
        <v>3.9979999999999998</v>
      </c>
      <c r="I138" s="7">
        <v>135.93199999999999</v>
      </c>
    </row>
    <row r="139" spans="2:9" x14ac:dyDescent="0.3">
      <c r="B139">
        <v>1100975</v>
      </c>
      <c r="C139" s="8">
        <v>42985</v>
      </c>
      <c r="D139" s="8" t="s">
        <v>13</v>
      </c>
      <c r="E139" t="s">
        <v>11</v>
      </c>
      <c r="F139" s="7">
        <v>3</v>
      </c>
      <c r="G139" s="7">
        <v>395</v>
      </c>
      <c r="H139" s="7">
        <v>79</v>
      </c>
      <c r="I139" s="7">
        <v>1106</v>
      </c>
    </row>
    <row r="140" spans="2:9" x14ac:dyDescent="0.3">
      <c r="B140">
        <v>1101062</v>
      </c>
      <c r="C140" s="8">
        <v>42997</v>
      </c>
      <c r="D140" s="8" t="s">
        <v>10</v>
      </c>
      <c r="E140" t="s">
        <v>11</v>
      </c>
      <c r="F140" s="7">
        <v>7</v>
      </c>
      <c r="G140" s="7">
        <v>49</v>
      </c>
      <c r="H140" s="7">
        <v>9.8000000000000007</v>
      </c>
      <c r="I140" s="7">
        <v>333.2</v>
      </c>
    </row>
    <row r="141" spans="2:9" x14ac:dyDescent="0.3">
      <c r="B141">
        <v>1101325</v>
      </c>
      <c r="C141" s="8">
        <v>43035</v>
      </c>
      <c r="D141" s="8" t="s">
        <v>14</v>
      </c>
      <c r="E141" t="s">
        <v>9</v>
      </c>
      <c r="F141" s="7">
        <v>1</v>
      </c>
      <c r="G141" s="7">
        <v>19.5</v>
      </c>
      <c r="H141" s="7">
        <v>0</v>
      </c>
      <c r="I141" s="7">
        <v>19.5</v>
      </c>
    </row>
    <row r="142" spans="2:9" x14ac:dyDescent="0.3">
      <c r="B142">
        <v>1101386</v>
      </c>
      <c r="C142" s="8">
        <v>43043</v>
      </c>
      <c r="D142" s="8" t="s">
        <v>10</v>
      </c>
      <c r="E142" t="s">
        <v>11</v>
      </c>
      <c r="F142" s="7">
        <v>12</v>
      </c>
      <c r="G142" s="7">
        <v>44.95</v>
      </c>
      <c r="H142" s="7">
        <v>8.99</v>
      </c>
      <c r="I142" s="7">
        <v>530.41000000000008</v>
      </c>
    </row>
    <row r="143" spans="2:9" x14ac:dyDescent="0.3">
      <c r="B143">
        <v>1101395</v>
      </c>
      <c r="C143" s="8">
        <v>43044</v>
      </c>
      <c r="D143" s="8" t="s">
        <v>10</v>
      </c>
      <c r="E143" t="s">
        <v>9</v>
      </c>
      <c r="F143" s="7">
        <v>1</v>
      </c>
      <c r="G143" s="7">
        <v>42.99</v>
      </c>
      <c r="H143" s="7">
        <v>0</v>
      </c>
      <c r="I143" s="7">
        <v>42.99</v>
      </c>
    </row>
    <row r="144" spans="2:9" x14ac:dyDescent="0.3">
      <c r="B144">
        <v>1101552</v>
      </c>
      <c r="C144" s="8">
        <v>43070</v>
      </c>
      <c r="D144" s="8" t="s">
        <v>10</v>
      </c>
      <c r="E144" t="s">
        <v>9</v>
      </c>
      <c r="F144" s="7">
        <v>1</v>
      </c>
      <c r="G144" s="7">
        <v>49</v>
      </c>
      <c r="H144" s="7">
        <v>0</v>
      </c>
      <c r="I144" s="7">
        <v>49</v>
      </c>
    </row>
    <row r="145" spans="2:9" x14ac:dyDescent="0.3">
      <c r="B145">
        <v>1101638</v>
      </c>
      <c r="C145" s="8">
        <v>43080</v>
      </c>
      <c r="D145" s="8" t="s">
        <v>14</v>
      </c>
      <c r="E145" t="s">
        <v>9</v>
      </c>
      <c r="F145" s="7">
        <v>1</v>
      </c>
      <c r="G145" s="7">
        <v>24.95</v>
      </c>
      <c r="H145" s="7">
        <v>0</v>
      </c>
      <c r="I145" s="7">
        <v>24.95</v>
      </c>
    </row>
    <row r="146" spans="2:9" x14ac:dyDescent="0.3">
      <c r="B146">
        <v>1101700</v>
      </c>
      <c r="C146" s="8">
        <v>43090</v>
      </c>
      <c r="D146" s="8" t="s">
        <v>10</v>
      </c>
      <c r="E146" t="s">
        <v>11</v>
      </c>
      <c r="F146" s="7">
        <v>11</v>
      </c>
      <c r="G146" s="7">
        <v>29.99</v>
      </c>
      <c r="H146" s="7">
        <v>5.9980000000000002</v>
      </c>
      <c r="I146" s="7">
        <v>323.892</v>
      </c>
    </row>
    <row r="147" spans="2:9" x14ac:dyDescent="0.3">
      <c r="B147">
        <v>1101818</v>
      </c>
      <c r="C147" s="8">
        <v>43107</v>
      </c>
      <c r="D147" s="8" t="s">
        <v>14</v>
      </c>
      <c r="E147" t="s">
        <v>9</v>
      </c>
      <c r="F147" s="7">
        <v>1</v>
      </c>
      <c r="G147" s="7">
        <v>24.99</v>
      </c>
      <c r="H147" s="7">
        <v>0</v>
      </c>
      <c r="I147" s="7">
        <v>24.99</v>
      </c>
    </row>
    <row r="148" spans="2:9" x14ac:dyDescent="0.3">
      <c r="B148">
        <v>1102078</v>
      </c>
      <c r="C148" s="8">
        <v>43147</v>
      </c>
      <c r="D148" s="8" t="s">
        <v>16</v>
      </c>
      <c r="E148" t="s">
        <v>11</v>
      </c>
      <c r="F148" s="7">
        <v>13</v>
      </c>
      <c r="G148" s="7">
        <v>119</v>
      </c>
      <c r="H148" s="7">
        <v>23.8</v>
      </c>
      <c r="I148" s="7">
        <v>1523.2</v>
      </c>
    </row>
    <row r="149" spans="2:9" x14ac:dyDescent="0.3">
      <c r="B149">
        <v>1102093</v>
      </c>
      <c r="C149" s="8">
        <v>43150</v>
      </c>
      <c r="D149" s="8" t="s">
        <v>14</v>
      </c>
      <c r="E149" t="s">
        <v>9</v>
      </c>
      <c r="F149" s="7">
        <v>1</v>
      </c>
      <c r="G149" s="7">
        <v>12.99</v>
      </c>
      <c r="H149" s="7">
        <v>0</v>
      </c>
      <c r="I149" s="7">
        <v>12.99</v>
      </c>
    </row>
    <row r="150" spans="2:9" x14ac:dyDescent="0.3">
      <c r="B150">
        <v>1102110</v>
      </c>
      <c r="C150" s="8">
        <v>43153</v>
      </c>
      <c r="D150" s="8" t="s">
        <v>14</v>
      </c>
      <c r="E150" t="s">
        <v>11</v>
      </c>
      <c r="F150" s="7">
        <v>13</v>
      </c>
      <c r="G150" s="7">
        <v>16.989999999999998</v>
      </c>
      <c r="H150" s="7">
        <v>3.3979999999999997</v>
      </c>
      <c r="I150" s="7">
        <v>217.47199999999998</v>
      </c>
    </row>
    <row r="151" spans="2:9" x14ac:dyDescent="0.3">
      <c r="B151">
        <v>1102253</v>
      </c>
      <c r="C151" s="8">
        <v>43172</v>
      </c>
      <c r="D151" s="8" t="s">
        <v>10</v>
      </c>
      <c r="E151" t="s">
        <v>9</v>
      </c>
      <c r="F151" s="7">
        <v>1</v>
      </c>
      <c r="G151" s="7">
        <v>34.99</v>
      </c>
      <c r="H151" s="7">
        <v>0</v>
      </c>
      <c r="I151" s="7">
        <v>34.99</v>
      </c>
    </row>
    <row r="152" spans="2:9" x14ac:dyDescent="0.3">
      <c r="B152">
        <v>1102334</v>
      </c>
      <c r="C152" s="8">
        <v>43185</v>
      </c>
      <c r="D152" s="8" t="s">
        <v>12</v>
      </c>
      <c r="E152" t="s">
        <v>11</v>
      </c>
      <c r="F152" s="7">
        <v>10</v>
      </c>
      <c r="G152" s="7">
        <v>7.99</v>
      </c>
      <c r="H152" s="7">
        <v>1.5980000000000001</v>
      </c>
      <c r="I152" s="7">
        <v>78.302000000000007</v>
      </c>
    </row>
    <row r="153" spans="2:9" x14ac:dyDescent="0.3">
      <c r="B153">
        <v>1102619</v>
      </c>
      <c r="C153" s="8">
        <v>43228</v>
      </c>
      <c r="D153" s="8" t="s">
        <v>12</v>
      </c>
      <c r="E153" t="s">
        <v>11</v>
      </c>
      <c r="F153" s="7">
        <v>38</v>
      </c>
      <c r="G153" s="7">
        <v>8.99</v>
      </c>
      <c r="H153" s="7">
        <v>1.798</v>
      </c>
      <c r="I153" s="7">
        <v>339.822</v>
      </c>
    </row>
    <row r="154" spans="2:9" x14ac:dyDescent="0.3">
      <c r="B154">
        <v>1102683</v>
      </c>
      <c r="C154" s="8">
        <v>43235</v>
      </c>
      <c r="D154" s="8" t="s">
        <v>16</v>
      </c>
      <c r="E154" t="s">
        <v>9</v>
      </c>
      <c r="F154" s="7">
        <v>1</v>
      </c>
      <c r="G154" s="7">
        <v>179</v>
      </c>
      <c r="H154" s="7">
        <v>0</v>
      </c>
      <c r="I154" s="7">
        <v>179</v>
      </c>
    </row>
    <row r="155" spans="2:9" x14ac:dyDescent="0.3">
      <c r="B155">
        <v>1102814</v>
      </c>
      <c r="C155" s="8">
        <v>43257</v>
      </c>
      <c r="D155" s="8" t="s">
        <v>14</v>
      </c>
      <c r="E155" t="s">
        <v>9</v>
      </c>
      <c r="F155" s="7">
        <v>1</v>
      </c>
      <c r="G155" s="7">
        <v>19.5</v>
      </c>
      <c r="H155" s="7">
        <v>0</v>
      </c>
      <c r="I155" s="7">
        <v>19.5</v>
      </c>
    </row>
    <row r="156" spans="2:9" x14ac:dyDescent="0.3">
      <c r="B156">
        <v>1102841</v>
      </c>
      <c r="C156" s="8">
        <v>43261</v>
      </c>
      <c r="D156" s="8" t="s">
        <v>10</v>
      </c>
      <c r="E156" t="s">
        <v>9</v>
      </c>
      <c r="F156" s="7">
        <v>1</v>
      </c>
      <c r="G156" s="7">
        <v>27.5</v>
      </c>
      <c r="H156" s="7">
        <v>0</v>
      </c>
      <c r="I156" s="7">
        <v>27.5</v>
      </c>
    </row>
    <row r="157" spans="2:9" x14ac:dyDescent="0.3">
      <c r="B157">
        <v>1103080</v>
      </c>
      <c r="C157" s="8">
        <v>43290</v>
      </c>
      <c r="D157" s="8" t="s">
        <v>14</v>
      </c>
      <c r="E157" t="s">
        <v>11</v>
      </c>
      <c r="F157" s="7">
        <v>76</v>
      </c>
      <c r="G157" s="7">
        <v>14.99</v>
      </c>
      <c r="H157" s="7">
        <v>2.9980000000000002</v>
      </c>
      <c r="I157" s="7">
        <v>1136.242</v>
      </c>
    </row>
    <row r="158" spans="2:9" x14ac:dyDescent="0.3">
      <c r="B158">
        <v>1103183</v>
      </c>
      <c r="C158" s="8">
        <v>43303</v>
      </c>
      <c r="D158" s="8" t="s">
        <v>10</v>
      </c>
      <c r="E158" t="s">
        <v>9</v>
      </c>
      <c r="F158" s="7">
        <v>1</v>
      </c>
      <c r="G158" s="7">
        <v>36.99</v>
      </c>
      <c r="H158" s="7">
        <v>0</v>
      </c>
      <c r="I158" s="7">
        <v>36.99</v>
      </c>
    </row>
    <row r="159" spans="2:9" x14ac:dyDescent="0.3">
      <c r="B159">
        <v>1103302</v>
      </c>
      <c r="C159" s="8">
        <v>43320</v>
      </c>
      <c r="D159" s="8" t="s">
        <v>17</v>
      </c>
      <c r="E159" t="s">
        <v>11</v>
      </c>
      <c r="F159" s="7">
        <v>3</v>
      </c>
      <c r="G159" s="7">
        <v>189</v>
      </c>
      <c r="H159" s="7">
        <v>37.800000000000004</v>
      </c>
      <c r="I159" s="7">
        <v>529.20000000000005</v>
      </c>
    </row>
    <row r="160" spans="2:9" x14ac:dyDescent="0.3">
      <c r="B160">
        <v>1103323</v>
      </c>
      <c r="C160" s="8">
        <v>43322</v>
      </c>
      <c r="D160" s="8" t="s">
        <v>15</v>
      </c>
      <c r="E160" t="s">
        <v>9</v>
      </c>
      <c r="F160" s="7">
        <v>1</v>
      </c>
      <c r="G160" s="7">
        <v>684</v>
      </c>
      <c r="H160" s="7">
        <v>0</v>
      </c>
      <c r="I160" s="7">
        <v>684</v>
      </c>
    </row>
    <row r="161" spans="2:9" x14ac:dyDescent="0.3">
      <c r="B161">
        <v>1103365</v>
      </c>
      <c r="C161" s="8">
        <v>43328</v>
      </c>
      <c r="D161" s="8" t="s">
        <v>10</v>
      </c>
      <c r="E161" t="s">
        <v>11</v>
      </c>
      <c r="F161" s="7">
        <v>12</v>
      </c>
      <c r="G161" s="7">
        <v>49</v>
      </c>
      <c r="H161" s="7">
        <v>9.8000000000000007</v>
      </c>
      <c r="I161" s="7">
        <v>578.20000000000005</v>
      </c>
    </row>
    <row r="162" spans="2:9" x14ac:dyDescent="0.3">
      <c r="B162">
        <v>1103597</v>
      </c>
      <c r="C162" s="8">
        <v>43361</v>
      </c>
      <c r="D162" s="8" t="s">
        <v>12</v>
      </c>
      <c r="E162" t="s">
        <v>11</v>
      </c>
      <c r="F162" s="7">
        <v>5</v>
      </c>
      <c r="G162" s="7">
        <v>12</v>
      </c>
      <c r="H162" s="7">
        <v>2.4000000000000004</v>
      </c>
      <c r="I162" s="7">
        <v>57.6</v>
      </c>
    </row>
    <row r="163" spans="2:9" x14ac:dyDescent="0.3">
      <c r="B163">
        <v>1103612</v>
      </c>
      <c r="C163" s="8">
        <v>43363</v>
      </c>
      <c r="D163" s="8" t="s">
        <v>16</v>
      </c>
      <c r="E163" t="s">
        <v>11</v>
      </c>
      <c r="F163" s="7">
        <v>6</v>
      </c>
      <c r="G163" s="7">
        <v>89</v>
      </c>
      <c r="H163" s="7">
        <v>17.8</v>
      </c>
      <c r="I163" s="7">
        <v>516.20000000000005</v>
      </c>
    </row>
    <row r="164" spans="2:9" x14ac:dyDescent="0.3">
      <c r="B164">
        <v>1103692</v>
      </c>
      <c r="C164" s="8">
        <v>43375</v>
      </c>
      <c r="D164" s="8" t="s">
        <v>12</v>
      </c>
      <c r="E164" t="s">
        <v>9</v>
      </c>
      <c r="F164" s="7">
        <v>1</v>
      </c>
      <c r="G164" s="7">
        <v>4.99</v>
      </c>
      <c r="H164" s="7">
        <v>0</v>
      </c>
      <c r="I164" s="7">
        <v>4.99</v>
      </c>
    </row>
    <row r="165" spans="2:9" x14ac:dyDescent="0.3">
      <c r="B165">
        <v>1103854</v>
      </c>
      <c r="C165" s="8">
        <v>43400</v>
      </c>
      <c r="D165" s="8" t="s">
        <v>16</v>
      </c>
      <c r="E165" t="s">
        <v>11</v>
      </c>
      <c r="F165" s="7">
        <v>9</v>
      </c>
      <c r="G165" s="7">
        <v>54</v>
      </c>
      <c r="H165" s="7">
        <v>10.8</v>
      </c>
      <c r="I165" s="7">
        <v>475.2</v>
      </c>
    </row>
    <row r="166" spans="2:9" x14ac:dyDescent="0.3">
      <c r="B166">
        <v>1103884</v>
      </c>
      <c r="C166" s="8">
        <v>43405</v>
      </c>
      <c r="D166" s="8" t="s">
        <v>14</v>
      </c>
      <c r="E166" t="s">
        <v>11</v>
      </c>
      <c r="F166" s="7">
        <v>9</v>
      </c>
      <c r="G166" s="7">
        <v>16.989999999999998</v>
      </c>
      <c r="H166" s="7">
        <v>3.3979999999999997</v>
      </c>
      <c r="I166" s="7">
        <v>149.512</v>
      </c>
    </row>
    <row r="167" spans="2:9" x14ac:dyDescent="0.3">
      <c r="B167">
        <v>1103952</v>
      </c>
      <c r="C167" s="8">
        <v>43416</v>
      </c>
      <c r="D167" s="8" t="s">
        <v>10</v>
      </c>
      <c r="E167" t="s">
        <v>9</v>
      </c>
      <c r="F167" s="7">
        <v>1</v>
      </c>
      <c r="G167" s="7">
        <v>37.99</v>
      </c>
      <c r="H167" s="7">
        <v>0</v>
      </c>
      <c r="I167" s="7">
        <v>37.99</v>
      </c>
    </row>
    <row r="168" spans="2:9" x14ac:dyDescent="0.3">
      <c r="B168">
        <v>1103964</v>
      </c>
      <c r="C168" s="8">
        <v>43417</v>
      </c>
      <c r="D168" s="8" t="s">
        <v>14</v>
      </c>
      <c r="E168" t="s">
        <v>11</v>
      </c>
      <c r="F168" s="7">
        <v>9</v>
      </c>
      <c r="G168" s="7">
        <v>15.5</v>
      </c>
      <c r="H168" s="7">
        <v>3.1</v>
      </c>
      <c r="I168" s="7">
        <v>136.4</v>
      </c>
    </row>
    <row r="169" spans="2:9" x14ac:dyDescent="0.3">
      <c r="B169">
        <v>1104065</v>
      </c>
      <c r="C169" s="8">
        <v>43434</v>
      </c>
      <c r="D169" s="8" t="s">
        <v>12</v>
      </c>
      <c r="E169" t="s">
        <v>11</v>
      </c>
      <c r="F169" s="7">
        <v>7</v>
      </c>
      <c r="G169" s="7">
        <v>12</v>
      </c>
      <c r="H169" s="7">
        <v>2.4000000000000004</v>
      </c>
      <c r="I169" s="7">
        <v>81.599999999999994</v>
      </c>
    </row>
    <row r="170" spans="2:9" x14ac:dyDescent="0.3">
      <c r="B170">
        <v>1104209</v>
      </c>
      <c r="C170" s="8">
        <v>43454</v>
      </c>
      <c r="D170" s="8" t="s">
        <v>17</v>
      </c>
      <c r="E170" t="s">
        <v>9</v>
      </c>
      <c r="F170" s="7">
        <v>1</v>
      </c>
      <c r="G170" s="7">
        <v>222</v>
      </c>
      <c r="H170" s="7">
        <v>0</v>
      </c>
      <c r="I170" s="7">
        <v>222</v>
      </c>
    </row>
    <row r="171" spans="2:9" x14ac:dyDescent="0.3">
      <c r="B171">
        <v>1104251</v>
      </c>
      <c r="C171" s="8">
        <v>43458</v>
      </c>
      <c r="D171" s="8" t="s">
        <v>14</v>
      </c>
      <c r="E171" t="s">
        <v>9</v>
      </c>
      <c r="F171" s="7">
        <v>1</v>
      </c>
      <c r="G171" s="7">
        <v>16.75</v>
      </c>
      <c r="H171" s="7">
        <v>0</v>
      </c>
      <c r="I171" s="7">
        <v>16.75</v>
      </c>
    </row>
    <row r="172" spans="2:9" x14ac:dyDescent="0.3">
      <c r="B172">
        <v>1104356</v>
      </c>
      <c r="C172" s="8">
        <v>43473</v>
      </c>
      <c r="D172" s="8" t="s">
        <v>10</v>
      </c>
      <c r="E172" t="s">
        <v>11</v>
      </c>
      <c r="F172" s="7">
        <v>8</v>
      </c>
      <c r="G172" s="7">
        <v>42.99</v>
      </c>
      <c r="H172" s="7">
        <v>8.5980000000000008</v>
      </c>
      <c r="I172" s="7">
        <v>335.322</v>
      </c>
    </row>
    <row r="173" spans="2:9" x14ac:dyDescent="0.3">
      <c r="B173">
        <v>1104462</v>
      </c>
      <c r="C173" s="8">
        <v>43492</v>
      </c>
      <c r="D173" s="8" t="s">
        <v>10</v>
      </c>
      <c r="E173" t="s">
        <v>11</v>
      </c>
      <c r="F173" s="7">
        <v>4</v>
      </c>
      <c r="G173" s="7">
        <v>34.99</v>
      </c>
      <c r="H173" s="7">
        <v>6.9980000000000011</v>
      </c>
      <c r="I173" s="7">
        <v>132.96200000000002</v>
      </c>
    </row>
    <row r="174" spans="2:9" x14ac:dyDescent="0.3">
      <c r="B174">
        <v>1104484</v>
      </c>
      <c r="C174" s="8">
        <v>43497</v>
      </c>
      <c r="D174" s="8" t="s">
        <v>16</v>
      </c>
      <c r="E174" t="s">
        <v>11</v>
      </c>
      <c r="F174" s="7">
        <v>6</v>
      </c>
      <c r="G174" s="7">
        <v>119</v>
      </c>
      <c r="H174" s="7">
        <v>23.8</v>
      </c>
      <c r="I174" s="7">
        <v>690.2</v>
      </c>
    </row>
    <row r="175" spans="2:9" x14ac:dyDescent="0.3">
      <c r="B175">
        <v>1104566</v>
      </c>
      <c r="C175" s="8">
        <v>43510</v>
      </c>
      <c r="D175" s="8" t="s">
        <v>15</v>
      </c>
      <c r="E175" t="s">
        <v>11</v>
      </c>
      <c r="F175" s="7">
        <v>13</v>
      </c>
      <c r="G175" s="7">
        <v>899</v>
      </c>
      <c r="H175" s="7">
        <v>179.8</v>
      </c>
      <c r="I175" s="7">
        <v>11507.2</v>
      </c>
    </row>
    <row r="176" spans="2:9" x14ac:dyDescent="0.3">
      <c r="B176">
        <v>1104650</v>
      </c>
      <c r="C176" s="8">
        <v>43521</v>
      </c>
      <c r="D176" s="8" t="s">
        <v>15</v>
      </c>
      <c r="E176" t="s">
        <v>11</v>
      </c>
      <c r="F176" s="7">
        <v>13</v>
      </c>
      <c r="G176" s="7">
        <v>599</v>
      </c>
      <c r="H176" s="7">
        <v>119.80000000000001</v>
      </c>
      <c r="I176" s="7">
        <v>7667.2</v>
      </c>
    </row>
    <row r="177" spans="2:9" x14ac:dyDescent="0.3">
      <c r="B177">
        <v>1104657</v>
      </c>
      <c r="C177" s="8">
        <v>43521</v>
      </c>
      <c r="D177" s="8" t="s">
        <v>14</v>
      </c>
      <c r="E177" t="s">
        <v>11</v>
      </c>
      <c r="F177" s="7">
        <v>7</v>
      </c>
      <c r="G177" s="7">
        <v>24.95</v>
      </c>
      <c r="H177" s="7">
        <v>4.99</v>
      </c>
      <c r="I177" s="7">
        <v>169.66</v>
      </c>
    </row>
    <row r="178" spans="2:9" x14ac:dyDescent="0.3">
      <c r="B178">
        <v>1104706</v>
      </c>
      <c r="C178" s="8">
        <v>43527</v>
      </c>
      <c r="D178" s="8" t="s">
        <v>14</v>
      </c>
      <c r="E178" t="s">
        <v>9</v>
      </c>
      <c r="F178" s="7">
        <v>1</v>
      </c>
      <c r="G178" s="7">
        <v>14.99</v>
      </c>
      <c r="H178" s="7">
        <v>0</v>
      </c>
      <c r="I178" s="7">
        <v>14.99</v>
      </c>
    </row>
    <row r="179" spans="2:9" x14ac:dyDescent="0.3">
      <c r="B179">
        <v>1104795</v>
      </c>
      <c r="C179" s="8">
        <v>43540</v>
      </c>
      <c r="D179" s="8" t="s">
        <v>14</v>
      </c>
      <c r="E179" t="s">
        <v>11</v>
      </c>
      <c r="F179" s="7">
        <v>8</v>
      </c>
      <c r="G179" s="7">
        <v>14.99</v>
      </c>
      <c r="H179" s="7">
        <v>2.9980000000000002</v>
      </c>
      <c r="I179" s="7">
        <v>116.922</v>
      </c>
    </row>
    <row r="180" spans="2:9" x14ac:dyDescent="0.3">
      <c r="B180">
        <v>1104802</v>
      </c>
      <c r="C180" s="8">
        <v>43541</v>
      </c>
      <c r="D180" s="8" t="s">
        <v>16</v>
      </c>
      <c r="E180" t="s">
        <v>11</v>
      </c>
      <c r="F180" s="7">
        <v>10</v>
      </c>
      <c r="G180" s="7">
        <v>167</v>
      </c>
      <c r="H180" s="7">
        <v>33.4</v>
      </c>
      <c r="I180" s="7">
        <v>1636.6</v>
      </c>
    </row>
    <row r="181" spans="2:9" x14ac:dyDescent="0.3">
      <c r="B181">
        <v>1104936</v>
      </c>
      <c r="C181" s="8">
        <v>43560</v>
      </c>
      <c r="D181" s="8" t="s">
        <v>12</v>
      </c>
      <c r="E181" t="s">
        <v>11</v>
      </c>
      <c r="F181" s="7">
        <v>4</v>
      </c>
      <c r="G181" s="7">
        <v>7.99</v>
      </c>
      <c r="H181" s="7">
        <v>1.5980000000000001</v>
      </c>
      <c r="I181" s="7">
        <v>30.362000000000002</v>
      </c>
    </row>
    <row r="182" spans="2:9" x14ac:dyDescent="0.3">
      <c r="B182">
        <v>1105005</v>
      </c>
      <c r="C182" s="8">
        <v>43570</v>
      </c>
      <c r="D182" s="8" t="s">
        <v>14</v>
      </c>
      <c r="E182" t="s">
        <v>9</v>
      </c>
      <c r="F182" s="7">
        <v>1</v>
      </c>
      <c r="G182" s="7">
        <v>23.99</v>
      </c>
      <c r="H182" s="7">
        <v>0</v>
      </c>
      <c r="I182" s="7">
        <v>23.99</v>
      </c>
    </row>
    <row r="183" spans="2:9" x14ac:dyDescent="0.3">
      <c r="B183">
        <v>1105033</v>
      </c>
      <c r="C183" s="8">
        <v>43574</v>
      </c>
      <c r="D183" s="8" t="s">
        <v>17</v>
      </c>
      <c r="E183" t="s">
        <v>11</v>
      </c>
      <c r="F183" s="7">
        <v>11</v>
      </c>
      <c r="G183" s="7">
        <v>245</v>
      </c>
      <c r="H183" s="7">
        <v>49</v>
      </c>
      <c r="I183" s="7">
        <v>2646</v>
      </c>
    </row>
    <row r="184" spans="2:9" x14ac:dyDescent="0.3">
      <c r="B184">
        <v>1105056</v>
      </c>
      <c r="C184" s="8">
        <v>43578</v>
      </c>
      <c r="D184" s="8" t="s">
        <v>12</v>
      </c>
      <c r="E184" t="s">
        <v>11</v>
      </c>
      <c r="F184" s="7">
        <v>9</v>
      </c>
      <c r="G184" s="7">
        <v>8.99</v>
      </c>
      <c r="H184" s="7">
        <v>1.798</v>
      </c>
      <c r="I184" s="7">
        <v>79.111999999999995</v>
      </c>
    </row>
    <row r="185" spans="2:9" x14ac:dyDescent="0.3">
      <c r="B185">
        <v>1105347</v>
      </c>
      <c r="C185" s="8">
        <v>43622</v>
      </c>
      <c r="D185" s="8" t="s">
        <v>10</v>
      </c>
      <c r="E185" t="s">
        <v>9</v>
      </c>
      <c r="F185" s="7">
        <v>1</v>
      </c>
      <c r="G185" s="7">
        <v>42.99</v>
      </c>
      <c r="H185" s="7">
        <v>0</v>
      </c>
      <c r="I185" s="7">
        <v>42.99</v>
      </c>
    </row>
    <row r="186" spans="2:9" x14ac:dyDescent="0.3">
      <c r="B186">
        <v>1105364</v>
      </c>
      <c r="C186" s="8">
        <v>43624</v>
      </c>
      <c r="D186" s="8" t="s">
        <v>12</v>
      </c>
      <c r="E186" t="s">
        <v>11</v>
      </c>
      <c r="F186" s="7">
        <v>11</v>
      </c>
      <c r="G186" s="7">
        <v>11.99</v>
      </c>
      <c r="H186" s="7">
        <v>2.3980000000000001</v>
      </c>
      <c r="I186" s="7">
        <v>129.49200000000002</v>
      </c>
    </row>
    <row r="187" spans="2:9" x14ac:dyDescent="0.3">
      <c r="B187">
        <v>1105420</v>
      </c>
      <c r="C187" s="8">
        <v>43632</v>
      </c>
      <c r="D187" s="8" t="s">
        <v>12</v>
      </c>
      <c r="E187" t="s">
        <v>11</v>
      </c>
      <c r="F187" s="7">
        <v>10</v>
      </c>
      <c r="G187" s="7">
        <v>7.99</v>
      </c>
      <c r="H187" s="7">
        <v>1.5980000000000001</v>
      </c>
      <c r="I187" s="7">
        <v>78.302000000000007</v>
      </c>
    </row>
    <row r="188" spans="2:9" x14ac:dyDescent="0.3">
      <c r="B188">
        <v>1105445</v>
      </c>
      <c r="C188" s="8">
        <v>43635</v>
      </c>
      <c r="D188" s="8" t="s">
        <v>14</v>
      </c>
      <c r="E188" t="s">
        <v>11</v>
      </c>
      <c r="F188" s="7">
        <v>7</v>
      </c>
      <c r="G188" s="7">
        <v>14.99</v>
      </c>
      <c r="H188" s="7">
        <v>2.9980000000000002</v>
      </c>
      <c r="I188" s="7">
        <v>101.932</v>
      </c>
    </row>
    <row r="189" spans="2:9" x14ac:dyDescent="0.3">
      <c r="B189">
        <v>1105491</v>
      </c>
      <c r="C189" s="8">
        <v>43642</v>
      </c>
      <c r="D189" s="8" t="s">
        <v>10</v>
      </c>
      <c r="E189" t="s">
        <v>9</v>
      </c>
      <c r="F189" s="7">
        <v>1</v>
      </c>
      <c r="G189" s="7">
        <v>37.99</v>
      </c>
      <c r="H189" s="7">
        <v>0</v>
      </c>
      <c r="I189" s="7">
        <v>37.99</v>
      </c>
    </row>
    <row r="190" spans="2:9" x14ac:dyDescent="0.3">
      <c r="B190">
        <v>1105517</v>
      </c>
      <c r="C190" s="8">
        <v>43647</v>
      </c>
      <c r="D190" s="8" t="s">
        <v>16</v>
      </c>
      <c r="E190" t="s">
        <v>11</v>
      </c>
      <c r="F190" s="7">
        <v>11</v>
      </c>
      <c r="G190" s="7">
        <v>179</v>
      </c>
      <c r="H190" s="7">
        <v>35.800000000000004</v>
      </c>
      <c r="I190" s="7">
        <v>1933.2</v>
      </c>
    </row>
    <row r="191" spans="2:9" x14ac:dyDescent="0.3">
      <c r="B191">
        <v>1105691</v>
      </c>
      <c r="C191" s="8">
        <v>43674</v>
      </c>
      <c r="D191" s="8" t="s">
        <v>14</v>
      </c>
      <c r="E191" t="s">
        <v>11</v>
      </c>
      <c r="F191" s="7">
        <v>94</v>
      </c>
      <c r="G191" s="7">
        <v>14.99</v>
      </c>
      <c r="H191" s="7">
        <v>2.9980000000000002</v>
      </c>
      <c r="I191" s="7">
        <v>1406.0619999999999</v>
      </c>
    </row>
    <row r="192" spans="2:9" x14ac:dyDescent="0.3">
      <c r="B192">
        <v>1105724</v>
      </c>
      <c r="C192" s="8">
        <v>43679</v>
      </c>
      <c r="D192" s="8" t="s">
        <v>12</v>
      </c>
      <c r="E192" t="s">
        <v>9</v>
      </c>
      <c r="F192" s="7">
        <v>1</v>
      </c>
      <c r="G192" s="7">
        <v>10.99</v>
      </c>
      <c r="H192" s="7">
        <v>0</v>
      </c>
      <c r="I192" s="7">
        <v>10.99</v>
      </c>
    </row>
    <row r="193" spans="2:9" x14ac:dyDescent="0.3">
      <c r="B193">
        <v>1105870</v>
      </c>
      <c r="C193" s="8">
        <v>43701</v>
      </c>
      <c r="D193" s="8" t="s">
        <v>15</v>
      </c>
      <c r="E193" t="s">
        <v>9</v>
      </c>
      <c r="F193" s="7">
        <v>3</v>
      </c>
      <c r="G193" s="7">
        <v>599</v>
      </c>
      <c r="H193" s="7">
        <v>0</v>
      </c>
      <c r="I193" s="7">
        <v>1797</v>
      </c>
    </row>
    <row r="194" spans="2:9" x14ac:dyDescent="0.3">
      <c r="B194">
        <v>1100935</v>
      </c>
      <c r="C194" s="8">
        <v>42979</v>
      </c>
      <c r="D194" s="8" t="s">
        <v>16</v>
      </c>
      <c r="E194" t="s">
        <v>9</v>
      </c>
      <c r="F194" s="7">
        <v>2</v>
      </c>
      <c r="G194" s="7">
        <v>89</v>
      </c>
      <c r="H194" s="7">
        <v>0</v>
      </c>
      <c r="I194" s="7">
        <v>178</v>
      </c>
    </row>
    <row r="195" spans="2:9" x14ac:dyDescent="0.3">
      <c r="B195">
        <v>1100971</v>
      </c>
      <c r="C195" s="8">
        <v>42984</v>
      </c>
      <c r="D195" s="8" t="s">
        <v>13</v>
      </c>
      <c r="E195" t="s">
        <v>11</v>
      </c>
      <c r="F195" s="7">
        <v>12</v>
      </c>
      <c r="G195" s="7">
        <v>250</v>
      </c>
      <c r="H195" s="7">
        <v>50</v>
      </c>
      <c r="I195" s="7">
        <v>2950</v>
      </c>
    </row>
    <row r="196" spans="2:9" x14ac:dyDescent="0.3">
      <c r="B196">
        <v>1100970</v>
      </c>
      <c r="C196" s="8">
        <v>42984</v>
      </c>
      <c r="D196" s="8" t="s">
        <v>12</v>
      </c>
      <c r="E196" t="s">
        <v>9</v>
      </c>
      <c r="F196" s="7">
        <v>1</v>
      </c>
      <c r="G196" s="7">
        <v>8.99</v>
      </c>
      <c r="H196" s="7">
        <v>0</v>
      </c>
      <c r="I196" s="7">
        <v>8.99</v>
      </c>
    </row>
    <row r="197" spans="2:9" x14ac:dyDescent="0.3">
      <c r="B197">
        <v>1100982</v>
      </c>
      <c r="C197" s="8">
        <v>42986</v>
      </c>
      <c r="D197" s="8" t="s">
        <v>10</v>
      </c>
      <c r="E197" t="s">
        <v>11</v>
      </c>
      <c r="F197" s="7">
        <v>6</v>
      </c>
      <c r="G197" s="7">
        <v>34.99</v>
      </c>
      <c r="H197" s="7">
        <v>6.9980000000000011</v>
      </c>
      <c r="I197" s="7">
        <v>202.94200000000001</v>
      </c>
    </row>
    <row r="198" spans="2:9" x14ac:dyDescent="0.3">
      <c r="B198">
        <v>1100984</v>
      </c>
      <c r="C198" s="8">
        <v>42987</v>
      </c>
      <c r="D198" s="8" t="s">
        <v>10</v>
      </c>
      <c r="E198" t="s">
        <v>11</v>
      </c>
      <c r="F198" s="7">
        <v>10</v>
      </c>
      <c r="G198" s="7">
        <v>34.99</v>
      </c>
      <c r="H198" s="7">
        <v>6.9980000000000011</v>
      </c>
      <c r="I198" s="7">
        <v>342.90200000000004</v>
      </c>
    </row>
    <row r="199" spans="2:9" x14ac:dyDescent="0.3">
      <c r="B199">
        <v>1101004</v>
      </c>
      <c r="C199" s="8">
        <v>42990</v>
      </c>
      <c r="D199" s="8" t="s">
        <v>12</v>
      </c>
      <c r="E199" t="s">
        <v>9</v>
      </c>
      <c r="F199" s="7">
        <v>1</v>
      </c>
      <c r="G199" s="7">
        <v>8.99</v>
      </c>
      <c r="H199" s="7">
        <v>0</v>
      </c>
      <c r="I199" s="7">
        <v>8.99</v>
      </c>
    </row>
    <row r="200" spans="2:9" x14ac:dyDescent="0.3">
      <c r="B200">
        <v>1101016</v>
      </c>
      <c r="C200" s="8">
        <v>42991</v>
      </c>
      <c r="D200" s="8" t="s">
        <v>16</v>
      </c>
      <c r="E200" t="s">
        <v>11</v>
      </c>
      <c r="F200" s="7">
        <v>4</v>
      </c>
      <c r="G200" s="7">
        <v>89</v>
      </c>
      <c r="H200" s="7">
        <v>17.8</v>
      </c>
      <c r="I200" s="7">
        <v>338.2</v>
      </c>
    </row>
    <row r="201" spans="2:9" x14ac:dyDescent="0.3">
      <c r="B201">
        <v>1101035</v>
      </c>
      <c r="C201" s="8">
        <v>42994</v>
      </c>
      <c r="D201" s="8" t="s">
        <v>13</v>
      </c>
      <c r="E201" t="s">
        <v>11</v>
      </c>
      <c r="F201" s="7">
        <v>8</v>
      </c>
      <c r="G201" s="7">
        <v>499</v>
      </c>
      <c r="H201" s="7">
        <v>99.800000000000011</v>
      </c>
      <c r="I201" s="7">
        <v>3892.2</v>
      </c>
    </row>
  </sheetData>
  <autoFilter ref="B3:I3" xr:uid="{0EBEB1C6-B6BE-42AE-8E09-0DE9211F812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54D8-DBD1-4621-9A8F-ADDD931A89C9}">
  <sheetPr>
    <tabColor theme="9" tint="-0.499984740745262"/>
  </sheetPr>
  <dimension ref="B2:L36"/>
  <sheetViews>
    <sheetView showGridLines="0" topLeftCell="D1" zoomScale="85" zoomScaleNormal="85" workbookViewId="0">
      <selection activeCell="E10" sqref="E10"/>
    </sheetView>
  </sheetViews>
  <sheetFormatPr defaultRowHeight="14.4" x14ac:dyDescent="0.3"/>
  <cols>
    <col min="2" max="4" width="16.88671875" customWidth="1"/>
    <col min="5" max="5" width="18.6640625" customWidth="1"/>
    <col min="7" max="7" width="13.77734375" customWidth="1"/>
    <col min="8" max="11" width="12.77734375" customWidth="1"/>
  </cols>
  <sheetData>
    <row r="2" spans="2:10" x14ac:dyDescent="0.3">
      <c r="B2" s="3" t="s">
        <v>18</v>
      </c>
      <c r="C2" s="3"/>
      <c r="D2" s="3"/>
      <c r="E2" s="3"/>
      <c r="G2" s="4" t="s">
        <v>19</v>
      </c>
      <c r="H2" s="4"/>
      <c r="I2" s="4"/>
      <c r="J2" s="4"/>
    </row>
    <row r="3" spans="2:10" ht="15.45" customHeight="1" x14ac:dyDescent="0.3">
      <c r="B3" s="2" t="s">
        <v>20</v>
      </c>
      <c r="C3" s="2" t="s">
        <v>21</v>
      </c>
      <c r="D3" s="2" t="s">
        <v>22</v>
      </c>
      <c r="E3" s="2" t="s">
        <v>23</v>
      </c>
    </row>
    <row r="4" spans="2:10" x14ac:dyDescent="0.3">
      <c r="B4" s="9">
        <v>43831</v>
      </c>
      <c r="C4" s="1">
        <v>100</v>
      </c>
      <c r="D4" s="1">
        <v>190</v>
      </c>
      <c r="E4" s="1">
        <v>1.2</v>
      </c>
      <c r="G4" t="e" cm="1" vm="8">
        <f t="array" ref="G4">_xlfn._xlws.PY(6,1,B3:E13)</f>
        <v>#VALUE!</v>
      </c>
    </row>
    <row r="5" spans="2:10" x14ac:dyDescent="0.3">
      <c r="B5" s="9">
        <v>43832</v>
      </c>
      <c r="C5" s="1">
        <v>101</v>
      </c>
      <c r="D5" s="1">
        <v>230</v>
      </c>
      <c r="E5" s="1">
        <v>1.2</v>
      </c>
    </row>
    <row r="6" spans="2:10" x14ac:dyDescent="0.3">
      <c r="B6" s="9">
        <v>43833</v>
      </c>
      <c r="C6" s="10"/>
      <c r="D6" s="1">
        <v>250</v>
      </c>
      <c r="E6" s="1">
        <v>1.2</v>
      </c>
      <c r="G6" t="str" cm="1">
        <f t="array" ref="G6:J16">_xlfn._xlws.PY(7,0)</f>
        <v>Date</v>
      </c>
      <c r="H6" t="str">
        <v>Stock_Price</v>
      </c>
      <c r="I6" t="str">
        <v>Sales_Figures</v>
      </c>
      <c r="J6" t="str">
        <v>Economic_Indicator</v>
      </c>
    </row>
    <row r="7" spans="2:10" x14ac:dyDescent="0.3">
      <c r="B7" s="9">
        <v>43834</v>
      </c>
      <c r="C7" s="1">
        <v>103</v>
      </c>
      <c r="D7" s="1">
        <v>270</v>
      </c>
      <c r="E7" s="1">
        <v>1.2</v>
      </c>
      <c r="G7" vm="9">
        <v>43831</v>
      </c>
      <c r="H7">
        <v>100</v>
      </c>
      <c r="I7">
        <v>190</v>
      </c>
      <c r="J7">
        <v>1.2</v>
      </c>
    </row>
    <row r="8" spans="2:10" x14ac:dyDescent="0.3">
      <c r="B8" s="9">
        <v>43835</v>
      </c>
      <c r="C8" s="1">
        <v>104</v>
      </c>
      <c r="D8" s="10"/>
      <c r="E8" s="1">
        <v>1.2</v>
      </c>
      <c r="G8" vm="10">
        <v>43832</v>
      </c>
      <c r="H8">
        <v>101</v>
      </c>
      <c r="I8">
        <v>230</v>
      </c>
      <c r="J8">
        <v>1.2</v>
      </c>
    </row>
    <row r="9" spans="2:10" x14ac:dyDescent="0.3">
      <c r="B9" s="9">
        <v>43836</v>
      </c>
      <c r="C9" s="10"/>
      <c r="D9" s="1">
        <v>310</v>
      </c>
      <c r="E9" s="1">
        <v>1.2</v>
      </c>
      <c r="G9" vm="11">
        <v>43833</v>
      </c>
      <c r="H9">
        <v>101</v>
      </c>
      <c r="I9">
        <v>250</v>
      </c>
      <c r="J9">
        <v>1.2</v>
      </c>
    </row>
    <row r="10" spans="2:10" x14ac:dyDescent="0.3">
      <c r="B10" s="9">
        <v>43837</v>
      </c>
      <c r="C10" s="1">
        <v>106</v>
      </c>
      <c r="D10" s="1">
        <v>250</v>
      </c>
      <c r="E10" s="10"/>
      <c r="G10" vm="12">
        <v>43834</v>
      </c>
      <c r="H10">
        <v>103</v>
      </c>
      <c r="I10">
        <v>270</v>
      </c>
      <c r="J10">
        <v>1.2</v>
      </c>
    </row>
    <row r="11" spans="2:10" x14ac:dyDescent="0.3">
      <c r="B11" s="9">
        <v>43838</v>
      </c>
      <c r="C11" s="1">
        <v>107</v>
      </c>
      <c r="D11" s="1">
        <v>250</v>
      </c>
      <c r="E11" s="1">
        <v>1.2</v>
      </c>
      <c r="G11" vm="13">
        <v>43835</v>
      </c>
      <c r="H11">
        <v>104</v>
      </c>
      <c r="I11">
        <v>270</v>
      </c>
      <c r="J11">
        <v>1.2</v>
      </c>
    </row>
    <row r="12" spans="2:10" x14ac:dyDescent="0.3">
      <c r="B12" s="9">
        <v>43839</v>
      </c>
      <c r="C12" s="1">
        <v>108</v>
      </c>
      <c r="D12" s="10"/>
      <c r="E12" s="1">
        <v>1.2</v>
      </c>
      <c r="G12" vm="14">
        <v>43836</v>
      </c>
      <c r="H12">
        <v>104</v>
      </c>
      <c r="I12">
        <v>310</v>
      </c>
      <c r="J12">
        <v>1.2</v>
      </c>
    </row>
    <row r="13" spans="2:10" x14ac:dyDescent="0.3">
      <c r="B13" s="9">
        <v>43840</v>
      </c>
      <c r="C13" s="1">
        <v>109</v>
      </c>
      <c r="D13" s="1">
        <v>290</v>
      </c>
      <c r="E13" s="1">
        <v>1.2</v>
      </c>
      <c r="G13" vm="15">
        <v>43837</v>
      </c>
      <c r="H13">
        <v>106</v>
      </c>
      <c r="I13">
        <v>250</v>
      </c>
      <c r="J13">
        <v>1.2</v>
      </c>
    </row>
    <row r="14" spans="2:10" x14ac:dyDescent="0.3">
      <c r="G14" vm="16">
        <v>43838</v>
      </c>
      <c r="H14">
        <v>107</v>
      </c>
      <c r="I14">
        <v>250</v>
      </c>
      <c r="J14">
        <v>1.2</v>
      </c>
    </row>
    <row r="15" spans="2:10" x14ac:dyDescent="0.3">
      <c r="G15" vm="17">
        <v>43839</v>
      </c>
      <c r="H15">
        <v>108</v>
      </c>
      <c r="I15">
        <v>250</v>
      </c>
      <c r="J15">
        <v>1.2</v>
      </c>
    </row>
    <row r="16" spans="2:10" x14ac:dyDescent="0.3">
      <c r="G16" vm="18">
        <v>43840</v>
      </c>
      <c r="H16">
        <v>109</v>
      </c>
      <c r="I16">
        <v>290</v>
      </c>
      <c r="J16">
        <v>1.2</v>
      </c>
    </row>
    <row r="19" spans="7:12" x14ac:dyDescent="0.3">
      <c r="G19" t="str" cm="1">
        <f t="array" ref="G19:L29">_xlfn._xlws.PY(8,0)</f>
        <v>Date</v>
      </c>
      <c r="H19" t="str">
        <v>Stock_Price</v>
      </c>
      <c r="I19" t="str">
        <v>Sales_Figures</v>
      </c>
      <c r="J19" t="str">
        <v>Economic_Indicator</v>
      </c>
      <c r="K19" t="str">
        <v>Log_Sales_Figures</v>
      </c>
      <c r="L19" t="str">
        <v>Price_Change</v>
      </c>
    </row>
    <row r="20" spans="7:12" x14ac:dyDescent="0.3">
      <c r="G20" vm="9">
        <v>43831</v>
      </c>
      <c r="H20">
        <v>100</v>
      </c>
      <c r="I20">
        <v>190</v>
      </c>
      <c r="J20">
        <v>1.2</v>
      </c>
      <c r="K20">
        <v>5.2470240721604862</v>
      </c>
      <c r="L20" t="e">
        <v>#NUM!</v>
      </c>
    </row>
    <row r="21" spans="7:12" x14ac:dyDescent="0.3">
      <c r="G21" vm="10">
        <v>43832</v>
      </c>
      <c r="H21">
        <v>101</v>
      </c>
      <c r="I21">
        <v>230</v>
      </c>
      <c r="J21">
        <v>1.2</v>
      </c>
      <c r="K21">
        <v>5.4380793089231956</v>
      </c>
      <c r="L21">
        <v>1</v>
      </c>
    </row>
    <row r="22" spans="7:12" x14ac:dyDescent="0.3">
      <c r="G22" vm="11">
        <v>43833</v>
      </c>
      <c r="H22">
        <v>101</v>
      </c>
      <c r="I22">
        <v>250</v>
      </c>
      <c r="J22">
        <v>1.2</v>
      </c>
      <c r="K22">
        <v>5.521460917862246</v>
      </c>
      <c r="L22">
        <v>0</v>
      </c>
    </row>
    <row r="23" spans="7:12" x14ac:dyDescent="0.3">
      <c r="G23" vm="12">
        <v>43834</v>
      </c>
      <c r="H23">
        <v>103</v>
      </c>
      <c r="I23">
        <v>270</v>
      </c>
      <c r="J23">
        <v>1.2</v>
      </c>
      <c r="K23">
        <v>5.598421958998375</v>
      </c>
      <c r="L23">
        <v>2</v>
      </c>
    </row>
    <row r="24" spans="7:12" x14ac:dyDescent="0.3">
      <c r="G24" vm="13">
        <v>43835</v>
      </c>
      <c r="H24">
        <v>104</v>
      </c>
      <c r="I24">
        <v>270</v>
      </c>
      <c r="J24">
        <v>1.2</v>
      </c>
      <c r="K24">
        <v>5.598421958998375</v>
      </c>
      <c r="L24">
        <v>1</v>
      </c>
    </row>
    <row r="25" spans="7:12" x14ac:dyDescent="0.3">
      <c r="G25" vm="14">
        <v>43836</v>
      </c>
      <c r="H25">
        <v>104</v>
      </c>
      <c r="I25">
        <v>310</v>
      </c>
      <c r="J25">
        <v>1.2</v>
      </c>
      <c r="K25">
        <v>5.7365722974791922</v>
      </c>
      <c r="L25">
        <v>0</v>
      </c>
    </row>
    <row r="26" spans="7:12" x14ac:dyDescent="0.3">
      <c r="G26" vm="15">
        <v>43837</v>
      </c>
      <c r="H26">
        <v>106</v>
      </c>
      <c r="I26">
        <v>250</v>
      </c>
      <c r="J26">
        <v>1.2</v>
      </c>
      <c r="K26">
        <v>5.521460917862246</v>
      </c>
      <c r="L26">
        <v>2</v>
      </c>
    </row>
    <row r="27" spans="7:12" x14ac:dyDescent="0.3">
      <c r="G27" vm="16">
        <v>43838</v>
      </c>
      <c r="H27">
        <v>107</v>
      </c>
      <c r="I27">
        <v>250</v>
      </c>
      <c r="J27">
        <v>1.2</v>
      </c>
      <c r="K27">
        <v>5.521460917862246</v>
      </c>
      <c r="L27">
        <v>1</v>
      </c>
    </row>
    <row r="28" spans="7:12" x14ac:dyDescent="0.3">
      <c r="G28" vm="17">
        <v>43839</v>
      </c>
      <c r="H28">
        <v>108</v>
      </c>
      <c r="I28">
        <v>250</v>
      </c>
      <c r="J28">
        <v>1.2</v>
      </c>
      <c r="K28">
        <v>5.521460917862246</v>
      </c>
      <c r="L28">
        <v>1</v>
      </c>
    </row>
    <row r="29" spans="7:12" x14ac:dyDescent="0.3">
      <c r="G29" vm="18">
        <v>43840</v>
      </c>
      <c r="H29">
        <v>109</v>
      </c>
      <c r="I29">
        <v>290</v>
      </c>
      <c r="J29">
        <v>1.2</v>
      </c>
      <c r="K29">
        <v>5.6698809229805196</v>
      </c>
      <c r="L29">
        <v>1</v>
      </c>
    </row>
    <row r="32" spans="7:12" x14ac:dyDescent="0.3">
      <c r="G32" t="str" cm="1">
        <f t="array" ref="G32:K36">_xlfn._xlws.PY(9,0)</f>
        <v/>
      </c>
      <c r="H32" t="str">
        <v>Stock_Price</v>
      </c>
      <c r="I32" t="str">
        <v>Stock_Price</v>
      </c>
      <c r="J32" t="str">
        <v>Sales_Figures</v>
      </c>
      <c r="K32" t="str">
        <v>Sales_Figures</v>
      </c>
    </row>
    <row r="33" spans="7:11" x14ac:dyDescent="0.3">
      <c r="G33" t="str">
        <v/>
      </c>
      <c r="H33" t="str">
        <v>mean</v>
      </c>
      <c r="I33" t="str">
        <v>sum</v>
      </c>
      <c r="J33" t="str">
        <v>mean</v>
      </c>
      <c r="K33" t="str">
        <v>count</v>
      </c>
    </row>
    <row r="34" spans="7:11" x14ac:dyDescent="0.3">
      <c r="G34" t="str">
        <v>Category</v>
      </c>
      <c r="H34" t="str">
        <v/>
      </c>
      <c r="I34" t="str">
        <v/>
      </c>
      <c r="J34" t="str">
        <v/>
      </c>
      <c r="K34" t="str">
        <v/>
      </c>
    </row>
    <row r="35" spans="7:11" x14ac:dyDescent="0.3">
      <c r="G35" t="str">
        <v>A</v>
      </c>
      <c r="H35">
        <v>103.8</v>
      </c>
      <c r="I35">
        <v>519</v>
      </c>
      <c r="J35">
        <v>238</v>
      </c>
      <c r="K35">
        <v>5</v>
      </c>
    </row>
    <row r="36" spans="7:11" x14ac:dyDescent="0.3">
      <c r="G36" t="str">
        <v>B</v>
      </c>
      <c r="H36">
        <v>104.8</v>
      </c>
      <c r="I36">
        <v>524</v>
      </c>
      <c r="J36">
        <v>274</v>
      </c>
      <c r="K3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8EF08-324E-436B-B5E8-54565398A4B3}">
  <sheetPr>
    <tabColor theme="9" tint="-0.499984740745262"/>
  </sheetPr>
  <dimension ref="B2:E26"/>
  <sheetViews>
    <sheetView showGridLines="0" zoomScale="85" zoomScaleNormal="85" workbookViewId="0">
      <selection activeCell="L28" sqref="L28"/>
    </sheetView>
  </sheetViews>
  <sheetFormatPr defaultRowHeight="14.4" x14ac:dyDescent="0.3"/>
  <cols>
    <col min="1" max="1" width="10.33203125" customWidth="1"/>
    <col min="2" max="2" width="24.21875" customWidth="1"/>
  </cols>
  <sheetData>
    <row r="2" spans="2:5" x14ac:dyDescent="0.3">
      <c r="B2" s="4" t="s">
        <v>19</v>
      </c>
      <c r="C2" s="4"/>
      <c r="D2" s="4"/>
      <c r="E2" s="4"/>
    </row>
    <row r="4" spans="2:5" x14ac:dyDescent="0.3">
      <c r="B4" t="e" cm="1" vm="19">
        <f t="array" ref="B4">_xlfn._xlws.PY(10,1)</f>
        <v>#VALUE!</v>
      </c>
    </row>
    <row r="6" spans="2:5" x14ac:dyDescent="0.3">
      <c r="B6" cm="1">
        <f t="array" ref="B6:B15">_xlfn._xlws.PY(11,0)</f>
        <v>100</v>
      </c>
    </row>
    <row r="7" spans="2:5" x14ac:dyDescent="0.3">
      <c r="B7">
        <v>101</v>
      </c>
    </row>
    <row r="8" spans="2:5" x14ac:dyDescent="0.3">
      <c r="B8">
        <v>102</v>
      </c>
    </row>
    <row r="9" spans="2:5" x14ac:dyDescent="0.3">
      <c r="B9">
        <v>103</v>
      </c>
    </row>
    <row r="10" spans="2:5" x14ac:dyDescent="0.3">
      <c r="B10">
        <v>104</v>
      </c>
    </row>
    <row r="11" spans="2:5" x14ac:dyDescent="0.3">
      <c r="B11">
        <v>105</v>
      </c>
    </row>
    <row r="12" spans="2:5" x14ac:dyDescent="0.3">
      <c r="B12">
        <v>106</v>
      </c>
    </row>
    <row r="13" spans="2:5" x14ac:dyDescent="0.3">
      <c r="B13">
        <v>107</v>
      </c>
    </row>
    <row r="14" spans="2:5" x14ac:dyDescent="0.3">
      <c r="B14">
        <v>108</v>
      </c>
    </row>
    <row r="15" spans="2:5" x14ac:dyDescent="0.3">
      <c r="B15">
        <v>109</v>
      </c>
    </row>
    <row r="17" spans="2:5" x14ac:dyDescent="0.3">
      <c r="B17" cm="1" vm="20">
        <f t="array" ref="B17">_xlfn._xlws.PY(12,1)</f>
        <v>104.5</v>
      </c>
    </row>
    <row r="19" spans="2:5" x14ac:dyDescent="0.3">
      <c r="B19" cm="1" vm="21">
        <f t="array" ref="B19">_xlfn._xlws.PY(13,1)</f>
        <v>2.8722813232690143</v>
      </c>
    </row>
    <row r="21" spans="2:5" x14ac:dyDescent="0.3">
      <c r="B21" cm="1">
        <f t="array" ref="B21:C22">_xlfn._xlws.PY(14,0)</f>
        <v>1</v>
      </c>
      <c r="C21">
        <v>2</v>
      </c>
    </row>
    <row r="22" spans="2:5" x14ac:dyDescent="0.3">
      <c r="B22">
        <v>3</v>
      </c>
      <c r="C22">
        <v>4</v>
      </c>
    </row>
    <row r="24" spans="2:5" x14ac:dyDescent="0.3">
      <c r="B24" cm="1">
        <f t="array" ref="B24:E26">_xlfn._xlws.PY(15,0)</f>
        <v>100</v>
      </c>
      <c r="C24">
        <v>101</v>
      </c>
      <c r="D24">
        <v>102</v>
      </c>
      <c r="E24">
        <v>103</v>
      </c>
    </row>
    <row r="25" spans="2:5" x14ac:dyDescent="0.3">
      <c r="B25">
        <v>104</v>
      </c>
      <c r="C25">
        <v>105</v>
      </c>
      <c r="D25">
        <v>106</v>
      </c>
      <c r="E25">
        <v>107</v>
      </c>
    </row>
    <row r="26" spans="2:5" x14ac:dyDescent="0.3">
      <c r="B26">
        <v>108</v>
      </c>
      <c r="C26">
        <v>109</v>
      </c>
      <c r="D26">
        <v>100</v>
      </c>
      <c r="E26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2366-3282-4FF2-A639-842D2CCFF5B9}">
  <sheetPr>
    <tabColor theme="9" tint="-0.499984740745262"/>
  </sheetPr>
  <dimension ref="B2:G13"/>
  <sheetViews>
    <sheetView showGridLines="0" workbookViewId="0">
      <selection activeCell="H16" sqref="H16"/>
    </sheetView>
  </sheetViews>
  <sheetFormatPr defaultRowHeight="14.4" x14ac:dyDescent="0.3"/>
  <cols>
    <col min="1" max="1" width="2.21875" customWidth="1"/>
    <col min="2" max="5" width="19.6640625" customWidth="1"/>
    <col min="7" max="7" width="17.44140625" customWidth="1"/>
  </cols>
  <sheetData>
    <row r="2" spans="2:7" x14ac:dyDescent="0.3">
      <c r="B2" s="3" t="s">
        <v>18</v>
      </c>
      <c r="C2" s="3"/>
      <c r="D2" s="3"/>
      <c r="E2" s="3"/>
      <c r="G2" s="4" t="s">
        <v>19</v>
      </c>
    </row>
    <row r="3" spans="2:7" x14ac:dyDescent="0.3">
      <c r="B3" s="2" t="s">
        <v>20</v>
      </c>
      <c r="C3" s="2" t="s">
        <v>21</v>
      </c>
      <c r="D3" s="2" t="s">
        <v>22</v>
      </c>
      <c r="E3" s="2" t="s">
        <v>23</v>
      </c>
    </row>
    <row r="4" spans="2:7" x14ac:dyDescent="0.3">
      <c r="B4" s="11">
        <v>43831</v>
      </c>
      <c r="C4" s="6">
        <v>100</v>
      </c>
      <c r="D4" s="6">
        <v>190</v>
      </c>
      <c r="E4" s="6">
        <v>1.5</v>
      </c>
      <c r="G4" t="e" cm="1" vm="22">
        <f t="array" ref="G4">_xlfn._xlws.PY(6,1,B3:E13)</f>
        <v>#VALUE!</v>
      </c>
    </row>
    <row r="5" spans="2:7" x14ac:dyDescent="0.3">
      <c r="B5" s="11">
        <v>43832</v>
      </c>
      <c r="C5" s="6">
        <v>101</v>
      </c>
      <c r="D5" s="6">
        <v>230</v>
      </c>
      <c r="E5" s="6">
        <v>1.6</v>
      </c>
    </row>
    <row r="6" spans="2:7" x14ac:dyDescent="0.3">
      <c r="B6" s="11">
        <v>43833</v>
      </c>
      <c r="C6" s="6">
        <v>101</v>
      </c>
      <c r="D6" s="6">
        <v>250</v>
      </c>
      <c r="E6" s="6">
        <v>1.7</v>
      </c>
      <c r="G6" cm="1">
        <f t="array" ref="G6:G7">_xlfn._xlws.PY(16,0)</f>
        <v>299.39759036144579</v>
      </c>
    </row>
    <row r="7" spans="2:7" x14ac:dyDescent="0.3">
      <c r="B7" s="11">
        <v>43834</v>
      </c>
      <c r="C7" s="6">
        <v>103</v>
      </c>
      <c r="D7" s="6">
        <v>270</v>
      </c>
      <c r="E7" s="6">
        <v>1.8</v>
      </c>
      <c r="G7">
        <v>308.31325301204828</v>
      </c>
    </row>
    <row r="8" spans="2:7" x14ac:dyDescent="0.3">
      <c r="B8" s="11">
        <v>43835</v>
      </c>
      <c r="C8" s="6">
        <v>104</v>
      </c>
      <c r="D8" s="6">
        <v>270</v>
      </c>
      <c r="E8" s="6">
        <v>1.9</v>
      </c>
    </row>
    <row r="9" spans="2:7" x14ac:dyDescent="0.3">
      <c r="B9" s="11">
        <v>43836</v>
      </c>
      <c r="C9" s="6">
        <v>104</v>
      </c>
      <c r="D9" s="6">
        <v>310</v>
      </c>
      <c r="E9" s="6">
        <v>2</v>
      </c>
    </row>
    <row r="10" spans="2:7" x14ac:dyDescent="0.3">
      <c r="B10" s="11">
        <v>43837</v>
      </c>
      <c r="C10" s="6">
        <v>106</v>
      </c>
      <c r="D10" s="6">
        <v>250</v>
      </c>
      <c r="E10" s="6">
        <v>2.1</v>
      </c>
    </row>
    <row r="11" spans="2:7" x14ac:dyDescent="0.3">
      <c r="B11" s="11">
        <v>43838</v>
      </c>
      <c r="C11" s="6">
        <v>107</v>
      </c>
      <c r="D11" s="6">
        <v>250</v>
      </c>
      <c r="E11" s="6">
        <v>2.2000000000000002</v>
      </c>
    </row>
    <row r="12" spans="2:7" x14ac:dyDescent="0.3">
      <c r="B12" s="11">
        <v>43839</v>
      </c>
      <c r="C12" s="6">
        <v>108</v>
      </c>
      <c r="D12" s="6">
        <v>250</v>
      </c>
      <c r="E12" s="6">
        <v>2.2999999999999998</v>
      </c>
    </row>
    <row r="13" spans="2:7" x14ac:dyDescent="0.3">
      <c r="B13" s="11">
        <v>43840</v>
      </c>
      <c r="C13" s="6">
        <v>109</v>
      </c>
      <c r="D13" s="6">
        <v>290</v>
      </c>
      <c r="E13" s="6">
        <v>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B75D-95C5-4794-AE63-8F33E2C08243}">
  <sheetPr>
    <tabColor theme="9" tint="-0.499984740745262"/>
  </sheetPr>
  <dimension ref="B1:J113"/>
  <sheetViews>
    <sheetView showGridLines="0" topLeftCell="B1" zoomScale="85" zoomScaleNormal="85" workbookViewId="0">
      <selection activeCell="B14" sqref="B14"/>
    </sheetView>
  </sheetViews>
  <sheetFormatPr defaultRowHeight="14.4" x14ac:dyDescent="0.3"/>
  <cols>
    <col min="2" max="7" width="20.77734375" customWidth="1"/>
    <col min="9" max="9" width="20.77734375" customWidth="1"/>
    <col min="10" max="10" width="9.44140625" bestFit="1" customWidth="1"/>
  </cols>
  <sheetData>
    <row r="1" spans="2:10" x14ac:dyDescent="0.3">
      <c r="B1" t="s">
        <v>45</v>
      </c>
    </row>
    <row r="2" spans="2:10" x14ac:dyDescent="0.3">
      <c r="B2" s="3" t="s">
        <v>18</v>
      </c>
      <c r="C2" s="3"/>
      <c r="D2" s="3"/>
      <c r="E2" s="3"/>
      <c r="F2" s="3"/>
      <c r="G2" s="3"/>
      <c r="I2" s="4" t="s">
        <v>19</v>
      </c>
    </row>
    <row r="3" spans="2:10" x14ac:dyDescent="0.3">
      <c r="B3" s="2" t="s">
        <v>20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</row>
    <row r="4" spans="2:10" x14ac:dyDescent="0.3">
      <c r="B4" s="8">
        <v>43831</v>
      </c>
      <c r="C4">
        <v>137.45401200000001</v>
      </c>
      <c r="D4">
        <v>144.78974299999999</v>
      </c>
      <c r="E4">
        <v>133.494113</v>
      </c>
      <c r="F4">
        <v>139.230572</v>
      </c>
      <c r="G4" s="12">
        <v>1067</v>
      </c>
      <c r="I4" s="13" t="e" cm="1" vm="23">
        <f t="array" ref="I4">_xlfn._xlws.PY(6,1,B3:G34)</f>
        <v>#VALUE!</v>
      </c>
    </row>
    <row r="5" spans="2:10" x14ac:dyDescent="0.3">
      <c r="B5" s="8">
        <v>43832</v>
      </c>
      <c r="C5">
        <v>195.07143099999999</v>
      </c>
      <c r="D5">
        <v>200.245698</v>
      </c>
      <c r="E5">
        <v>192.73894000000001</v>
      </c>
      <c r="F5">
        <v>199.241421</v>
      </c>
      <c r="G5" s="12">
        <v>1017</v>
      </c>
      <c r="I5" s="13"/>
    </row>
    <row r="6" spans="2:10" x14ac:dyDescent="0.3">
      <c r="B6" s="8">
        <v>43833</v>
      </c>
      <c r="C6">
        <v>173.19939400000001</v>
      </c>
      <c r="D6">
        <v>177.13923299999999</v>
      </c>
      <c r="E6">
        <v>171.850898</v>
      </c>
      <c r="F6">
        <v>175.086894</v>
      </c>
      <c r="G6" s="12">
        <v>1026</v>
      </c>
      <c r="I6" cm="1" vm="2">
        <f t="array" ref="I6">_xlfn._xlws.PY(17,1)</f>
        <v>0</v>
      </c>
      <c r="J6" s="13"/>
    </row>
    <row r="7" spans="2:10" x14ac:dyDescent="0.3">
      <c r="B7" s="8">
        <v>43834</v>
      </c>
      <c r="C7">
        <v>159.865848</v>
      </c>
      <c r="D7">
        <v>169.04731699999999</v>
      </c>
      <c r="E7">
        <v>151.674825</v>
      </c>
      <c r="F7">
        <v>161.431422</v>
      </c>
      <c r="G7" s="12">
        <v>1094</v>
      </c>
      <c r="I7" s="13"/>
    </row>
    <row r="8" spans="2:10" x14ac:dyDescent="0.3">
      <c r="B8" s="8">
        <v>43835</v>
      </c>
      <c r="C8">
        <v>115.60186400000001</v>
      </c>
      <c r="D8">
        <v>123.83734200000001</v>
      </c>
      <c r="E8">
        <v>109.16530899999999</v>
      </c>
      <c r="F8">
        <v>112.993055</v>
      </c>
      <c r="G8" s="12">
        <v>1082</v>
      </c>
      <c r="I8" s="13" cm="1">
        <f t="array" ref="I8">_xlfn._xlws.PY(18,0)</f>
        <v>19.678046220138626</v>
      </c>
    </row>
    <row r="9" spans="2:10" x14ac:dyDescent="0.3">
      <c r="B9" s="8">
        <v>43836</v>
      </c>
      <c r="C9">
        <v>173.19939400000001</v>
      </c>
      <c r="D9">
        <v>177.13923299999999</v>
      </c>
      <c r="E9">
        <v>171.850898</v>
      </c>
      <c r="F9">
        <v>175.086894</v>
      </c>
      <c r="G9" s="12">
        <v>1167</v>
      </c>
    </row>
    <row r="10" spans="2:10" x14ac:dyDescent="0.3">
      <c r="B10" s="8">
        <v>43837</v>
      </c>
      <c r="C10">
        <v>159.865848</v>
      </c>
      <c r="D10">
        <v>169.04731699999999</v>
      </c>
      <c r="E10">
        <v>151.674825</v>
      </c>
      <c r="F10">
        <v>161.431422</v>
      </c>
      <c r="G10" s="12">
        <v>1076</v>
      </c>
    </row>
    <row r="11" spans="2:10" x14ac:dyDescent="0.3">
      <c r="B11" s="8">
        <v>43838</v>
      </c>
      <c r="C11">
        <v>115.60186400000001</v>
      </c>
      <c r="D11">
        <v>123.83734200000001</v>
      </c>
      <c r="E11">
        <v>109.16530899999999</v>
      </c>
      <c r="F11">
        <v>112.993055</v>
      </c>
      <c r="G11" s="12">
        <v>1154</v>
      </c>
    </row>
    <row r="12" spans="2:10" x14ac:dyDescent="0.3">
      <c r="B12" s="8">
        <v>43839</v>
      </c>
      <c r="C12">
        <v>133.736549642857</v>
      </c>
      <c r="D12">
        <v>141.999580607143</v>
      </c>
      <c r="E12">
        <v>126.55197610714301</v>
      </c>
      <c r="F12">
        <v>132.12518217857101</v>
      </c>
      <c r="G12" s="12">
        <v>1154</v>
      </c>
    </row>
    <row r="13" spans="2:10" x14ac:dyDescent="0.3">
      <c r="B13" s="8">
        <v>43840</v>
      </c>
      <c r="C13">
        <v>129.29301470238099</v>
      </c>
      <c r="D13">
        <v>137.85828671428601</v>
      </c>
      <c r="E13">
        <v>121.574217547619</v>
      </c>
      <c r="F13">
        <v>127.11148002380899</v>
      </c>
      <c r="G13" s="12">
        <v>1196</v>
      </c>
    </row>
    <row r="14" spans="2:10" x14ac:dyDescent="0.3">
      <c r="B14" s="8">
        <v>43841</v>
      </c>
      <c r="C14">
        <v>124.849479761905</v>
      </c>
      <c r="D14">
        <v>133.71699282142899</v>
      </c>
      <c r="E14">
        <v>116.59645898809499</v>
      </c>
      <c r="F14">
        <v>122.097777869048</v>
      </c>
      <c r="G14" s="12">
        <v>1036</v>
      </c>
    </row>
    <row r="15" spans="2:10" x14ac:dyDescent="0.3">
      <c r="B15" s="8">
        <v>43842</v>
      </c>
      <c r="C15">
        <v>120.405944821429</v>
      </c>
      <c r="D15">
        <v>129.575698928571</v>
      </c>
      <c r="E15">
        <v>111.618700428571</v>
      </c>
      <c r="F15">
        <v>117.084075714286</v>
      </c>
      <c r="G15" s="12">
        <v>1035</v>
      </c>
    </row>
    <row r="16" spans="2:10" x14ac:dyDescent="0.3">
      <c r="B16" s="8">
        <v>43843</v>
      </c>
      <c r="C16">
        <v>115.96240988095199</v>
      </c>
      <c r="D16">
        <v>125.43440503571399</v>
      </c>
      <c r="E16">
        <v>106.64094186904801</v>
      </c>
      <c r="F16">
        <v>112.070373559524</v>
      </c>
      <c r="G16" s="12">
        <v>1088</v>
      </c>
    </row>
    <row r="17" spans="2:7" x14ac:dyDescent="0.3">
      <c r="B17" s="8">
        <v>43844</v>
      </c>
      <c r="C17">
        <v>111.518874940476</v>
      </c>
      <c r="D17">
        <v>121.293111142857</v>
      </c>
      <c r="E17">
        <v>101.663183309524</v>
      </c>
      <c r="F17">
        <v>107.056671404762</v>
      </c>
      <c r="G17" s="12">
        <v>1041</v>
      </c>
    </row>
    <row r="18" spans="2:7" x14ac:dyDescent="0.3">
      <c r="B18" s="8">
        <v>43845</v>
      </c>
      <c r="C18">
        <v>107.07534</v>
      </c>
      <c r="D18">
        <v>117.15181724999999</v>
      </c>
      <c r="E18">
        <v>96.685424749999996</v>
      </c>
      <c r="F18">
        <v>102.04296925</v>
      </c>
      <c r="G18" s="12">
        <v>1127</v>
      </c>
    </row>
    <row r="19" spans="2:7" x14ac:dyDescent="0.3">
      <c r="B19" s="8">
        <v>43846</v>
      </c>
      <c r="C19">
        <v>102.631805059524</v>
      </c>
      <c r="D19">
        <v>113.010523357143</v>
      </c>
      <c r="E19">
        <v>91.707666190476203</v>
      </c>
      <c r="F19">
        <v>97.029267095237998</v>
      </c>
      <c r="G19" s="12">
        <v>1008</v>
      </c>
    </row>
    <row r="20" spans="2:7" x14ac:dyDescent="0.3">
      <c r="B20" s="8">
        <v>43847</v>
      </c>
      <c r="C20">
        <v>98.188270119047601</v>
      </c>
      <c r="D20">
        <v>108.86922946428599</v>
      </c>
      <c r="E20">
        <v>86.729907630952397</v>
      </c>
      <c r="F20">
        <v>92.015564940476196</v>
      </c>
      <c r="G20" s="12">
        <v>1111</v>
      </c>
    </row>
    <row r="21" spans="2:7" x14ac:dyDescent="0.3">
      <c r="B21" s="8">
        <v>43848</v>
      </c>
      <c r="C21">
        <v>93.744735178571403</v>
      </c>
      <c r="D21">
        <v>104.727935571429</v>
      </c>
      <c r="E21">
        <v>81.752149071428605</v>
      </c>
      <c r="F21">
        <v>87.001862785714295</v>
      </c>
      <c r="G21" s="12">
        <v>1103</v>
      </c>
    </row>
    <row r="22" spans="2:7" x14ac:dyDescent="0.3">
      <c r="B22" s="8">
        <v>43849</v>
      </c>
      <c r="C22">
        <v>89.301200238095305</v>
      </c>
      <c r="D22">
        <v>100.586641678571</v>
      </c>
      <c r="E22">
        <v>76.774390511904798</v>
      </c>
      <c r="F22">
        <v>81.988160630952393</v>
      </c>
      <c r="G22" s="12">
        <v>1026</v>
      </c>
    </row>
    <row r="23" spans="2:7" x14ac:dyDescent="0.3">
      <c r="B23" s="8">
        <v>43850</v>
      </c>
      <c r="C23">
        <v>84.857665297619107</v>
      </c>
      <c r="D23">
        <v>96.445347785714304</v>
      </c>
      <c r="E23">
        <v>71.796631952380906</v>
      </c>
      <c r="F23">
        <v>76.974458476190406</v>
      </c>
      <c r="G23" s="12">
        <v>1026</v>
      </c>
    </row>
    <row r="24" spans="2:7" x14ac:dyDescent="0.3">
      <c r="B24" s="8">
        <v>43851</v>
      </c>
      <c r="C24">
        <v>80.414130357142895</v>
      </c>
      <c r="D24">
        <v>92.304053892857198</v>
      </c>
      <c r="E24">
        <v>66.8188733928571</v>
      </c>
      <c r="F24">
        <v>71.960756321428605</v>
      </c>
      <c r="G24" s="12">
        <v>1144</v>
      </c>
    </row>
    <row r="25" spans="2:7" x14ac:dyDescent="0.3">
      <c r="B25" s="8">
        <v>43852</v>
      </c>
      <c r="C25">
        <v>75.970595416666697</v>
      </c>
      <c r="D25">
        <v>88.162760000000006</v>
      </c>
      <c r="E25">
        <v>61.8411148333334</v>
      </c>
      <c r="F25">
        <v>66.947054166666604</v>
      </c>
      <c r="G25" s="12">
        <v>1141</v>
      </c>
    </row>
    <row r="26" spans="2:7" x14ac:dyDescent="0.3">
      <c r="B26" s="8">
        <v>43853</v>
      </c>
      <c r="C26">
        <v>71.527060476190499</v>
      </c>
      <c r="D26">
        <v>84.021466107142899</v>
      </c>
      <c r="E26">
        <v>56.863356273809401</v>
      </c>
      <c r="F26">
        <v>61.933352011904603</v>
      </c>
      <c r="G26" s="12">
        <v>1064</v>
      </c>
    </row>
    <row r="27" spans="2:7" x14ac:dyDescent="0.3">
      <c r="B27" s="8">
        <v>43854</v>
      </c>
      <c r="C27">
        <v>67.083525535714699</v>
      </c>
      <c r="D27">
        <v>79.880172214285807</v>
      </c>
      <c r="E27">
        <v>51.885597714285403</v>
      </c>
      <c r="F27">
        <v>56.919649857142602</v>
      </c>
      <c r="G27" s="12">
        <v>1178</v>
      </c>
    </row>
    <row r="28" spans="2:7" x14ac:dyDescent="0.3">
      <c r="B28" s="8">
        <v>43855</v>
      </c>
      <c r="C28">
        <v>62.639990595237698</v>
      </c>
      <c r="D28">
        <v>75.738878321428601</v>
      </c>
      <c r="E28">
        <v>46.907839154761398</v>
      </c>
      <c r="F28">
        <v>51.905947702380601</v>
      </c>
      <c r="G28" s="12">
        <v>1032</v>
      </c>
    </row>
    <row r="29" spans="2:7" x14ac:dyDescent="0.3">
      <c r="B29" s="8">
        <v>43856</v>
      </c>
      <c r="C29">
        <v>58.196455654761699</v>
      </c>
      <c r="D29">
        <v>71.597584428570997</v>
      </c>
      <c r="E29">
        <v>41.930080595238401</v>
      </c>
      <c r="F29">
        <v>46.8922455476186</v>
      </c>
      <c r="G29" s="12">
        <v>1011</v>
      </c>
    </row>
    <row r="30" spans="2:7" x14ac:dyDescent="0.3">
      <c r="B30" s="8">
        <v>43857</v>
      </c>
      <c r="C30">
        <v>53.7529207142857</v>
      </c>
      <c r="D30">
        <v>67.456290535714004</v>
      </c>
      <c r="E30">
        <v>36.952322035714403</v>
      </c>
      <c r="F30">
        <v>41.878543392856599</v>
      </c>
      <c r="G30" s="12">
        <v>1040</v>
      </c>
    </row>
    <row r="31" spans="2:7" x14ac:dyDescent="0.3">
      <c r="B31" s="8">
        <v>43858</v>
      </c>
      <c r="C31">
        <v>49.309385773809701</v>
      </c>
      <c r="D31">
        <v>63.314996642856997</v>
      </c>
      <c r="E31">
        <v>31.974563476190401</v>
      </c>
      <c r="F31">
        <v>36.8648412380956</v>
      </c>
      <c r="G31" s="12">
        <v>1072</v>
      </c>
    </row>
    <row r="32" spans="2:7" x14ac:dyDescent="0.3">
      <c r="B32" s="8">
        <v>43859</v>
      </c>
      <c r="C32">
        <v>44.865850833333702</v>
      </c>
      <c r="D32">
        <v>59.173702749999997</v>
      </c>
      <c r="E32">
        <v>26.996804916666299</v>
      </c>
      <c r="F32">
        <v>31.851139083333599</v>
      </c>
      <c r="G32" s="12">
        <v>1075</v>
      </c>
    </row>
    <row r="33" spans="2:7" x14ac:dyDescent="0.3">
      <c r="B33" s="8">
        <v>43860</v>
      </c>
      <c r="C33">
        <v>40.422315892856702</v>
      </c>
      <c r="D33">
        <v>55.032408857142997</v>
      </c>
      <c r="E33">
        <v>22.0190463571424</v>
      </c>
      <c r="F33">
        <v>26.837436928571599</v>
      </c>
      <c r="G33" s="12">
        <v>1060</v>
      </c>
    </row>
    <row r="34" spans="2:7" x14ac:dyDescent="0.3">
      <c r="B34" s="8">
        <v>43861</v>
      </c>
      <c r="C34">
        <v>35.978780952380703</v>
      </c>
      <c r="D34">
        <v>50.891114964285997</v>
      </c>
      <c r="E34">
        <v>17.0412877976194</v>
      </c>
      <c r="F34">
        <v>21.823734773809601</v>
      </c>
      <c r="G34" s="12">
        <v>1190</v>
      </c>
    </row>
    <row r="35" spans="2:7" x14ac:dyDescent="0.3">
      <c r="B35" s="8"/>
      <c r="G35" s="12"/>
    </row>
    <row r="36" spans="2:7" x14ac:dyDescent="0.3">
      <c r="B36" s="8"/>
      <c r="G36" s="12"/>
    </row>
    <row r="37" spans="2:7" x14ac:dyDescent="0.3">
      <c r="B37" s="8"/>
      <c r="G37" s="12"/>
    </row>
    <row r="38" spans="2:7" x14ac:dyDescent="0.3">
      <c r="B38" s="8"/>
      <c r="G38" s="12"/>
    </row>
    <row r="39" spans="2:7" x14ac:dyDescent="0.3">
      <c r="B39" s="8"/>
      <c r="G39" s="12"/>
    </row>
    <row r="40" spans="2:7" x14ac:dyDescent="0.3">
      <c r="B40" s="8"/>
      <c r="G40" s="12"/>
    </row>
    <row r="41" spans="2:7" x14ac:dyDescent="0.3">
      <c r="B41" s="8"/>
      <c r="G41" s="12"/>
    </row>
    <row r="42" spans="2:7" x14ac:dyDescent="0.3">
      <c r="B42" s="8"/>
      <c r="G42" s="12"/>
    </row>
    <row r="43" spans="2:7" x14ac:dyDescent="0.3">
      <c r="B43" s="8"/>
      <c r="G43" s="12"/>
    </row>
    <row r="44" spans="2:7" x14ac:dyDescent="0.3">
      <c r="B44" s="8"/>
      <c r="G44" s="12"/>
    </row>
    <row r="45" spans="2:7" x14ac:dyDescent="0.3">
      <c r="B45" s="8"/>
      <c r="G45" s="12"/>
    </row>
    <row r="46" spans="2:7" x14ac:dyDescent="0.3">
      <c r="B46" s="8"/>
      <c r="G46" s="12"/>
    </row>
    <row r="47" spans="2:7" x14ac:dyDescent="0.3">
      <c r="B47" s="8"/>
      <c r="G47" s="12"/>
    </row>
    <row r="48" spans="2:7" x14ac:dyDescent="0.3">
      <c r="B48" s="8"/>
      <c r="G48" s="12"/>
    </row>
    <row r="49" spans="2:7" x14ac:dyDescent="0.3">
      <c r="B49" s="8"/>
      <c r="G49" s="12"/>
    </row>
    <row r="50" spans="2:7" x14ac:dyDescent="0.3">
      <c r="B50" s="8"/>
      <c r="G50" s="12"/>
    </row>
    <row r="51" spans="2:7" x14ac:dyDescent="0.3">
      <c r="B51" s="8"/>
      <c r="G51" s="12"/>
    </row>
    <row r="52" spans="2:7" x14ac:dyDescent="0.3">
      <c r="B52" s="8"/>
      <c r="G52" s="12"/>
    </row>
    <row r="53" spans="2:7" x14ac:dyDescent="0.3">
      <c r="B53" s="8"/>
      <c r="G53" s="12"/>
    </row>
    <row r="54" spans="2:7" x14ac:dyDescent="0.3">
      <c r="B54" s="8"/>
      <c r="G54" s="12"/>
    </row>
    <row r="55" spans="2:7" x14ac:dyDescent="0.3">
      <c r="B55" s="8"/>
      <c r="G55" s="12"/>
    </row>
    <row r="56" spans="2:7" x14ac:dyDescent="0.3">
      <c r="B56" s="8"/>
      <c r="G56" s="12"/>
    </row>
    <row r="57" spans="2:7" x14ac:dyDescent="0.3">
      <c r="B57" s="8"/>
      <c r="G57" s="12"/>
    </row>
    <row r="58" spans="2:7" x14ac:dyDescent="0.3">
      <c r="B58" s="8"/>
      <c r="G58" s="12"/>
    </row>
    <row r="59" spans="2:7" x14ac:dyDescent="0.3">
      <c r="B59" s="8"/>
      <c r="G59" s="12"/>
    </row>
    <row r="60" spans="2:7" x14ac:dyDescent="0.3">
      <c r="B60" s="8"/>
      <c r="G60" s="12"/>
    </row>
    <row r="61" spans="2:7" x14ac:dyDescent="0.3">
      <c r="B61" s="8"/>
      <c r="G61" s="12"/>
    </row>
    <row r="62" spans="2:7" x14ac:dyDescent="0.3">
      <c r="B62" s="8"/>
      <c r="G62" s="12"/>
    </row>
    <row r="63" spans="2:7" x14ac:dyDescent="0.3">
      <c r="B63" s="8"/>
      <c r="G63" s="12"/>
    </row>
    <row r="64" spans="2:7" x14ac:dyDescent="0.3">
      <c r="B64" s="8"/>
      <c r="G64" s="12"/>
    </row>
    <row r="65" spans="2:7" x14ac:dyDescent="0.3">
      <c r="B65" s="8"/>
      <c r="G65" s="12"/>
    </row>
    <row r="66" spans="2:7" x14ac:dyDescent="0.3">
      <c r="B66" s="8"/>
      <c r="G66" s="12"/>
    </row>
    <row r="67" spans="2:7" x14ac:dyDescent="0.3">
      <c r="B67" s="8"/>
      <c r="G67" s="12"/>
    </row>
    <row r="68" spans="2:7" x14ac:dyDescent="0.3">
      <c r="B68" s="8"/>
      <c r="G68" s="12"/>
    </row>
    <row r="69" spans="2:7" x14ac:dyDescent="0.3">
      <c r="B69" s="8"/>
      <c r="G69" s="12"/>
    </row>
    <row r="70" spans="2:7" x14ac:dyDescent="0.3">
      <c r="B70" s="8"/>
      <c r="G70" s="12"/>
    </row>
    <row r="71" spans="2:7" x14ac:dyDescent="0.3">
      <c r="B71" s="8"/>
      <c r="G71" s="12"/>
    </row>
    <row r="72" spans="2:7" x14ac:dyDescent="0.3">
      <c r="B72" s="8"/>
      <c r="G72" s="12"/>
    </row>
    <row r="73" spans="2:7" x14ac:dyDescent="0.3">
      <c r="B73" s="8"/>
      <c r="G73" s="12"/>
    </row>
    <row r="74" spans="2:7" x14ac:dyDescent="0.3">
      <c r="B74" s="8"/>
      <c r="G74" s="12"/>
    </row>
    <row r="75" spans="2:7" x14ac:dyDescent="0.3">
      <c r="B75" s="8"/>
      <c r="G75" s="12"/>
    </row>
    <row r="76" spans="2:7" x14ac:dyDescent="0.3">
      <c r="B76" s="8"/>
      <c r="G76" s="12"/>
    </row>
    <row r="77" spans="2:7" x14ac:dyDescent="0.3">
      <c r="B77" s="8"/>
      <c r="G77" s="12"/>
    </row>
    <row r="78" spans="2:7" x14ac:dyDescent="0.3">
      <c r="B78" s="8"/>
      <c r="G78" s="12"/>
    </row>
    <row r="79" spans="2:7" x14ac:dyDescent="0.3">
      <c r="B79" s="8"/>
      <c r="G79" s="12"/>
    </row>
    <row r="80" spans="2:7" x14ac:dyDescent="0.3">
      <c r="B80" s="8"/>
      <c r="G80" s="12"/>
    </row>
    <row r="81" spans="2:7" x14ac:dyDescent="0.3">
      <c r="B81" s="8"/>
      <c r="G81" s="12"/>
    </row>
    <row r="82" spans="2:7" x14ac:dyDescent="0.3">
      <c r="B82" s="8"/>
      <c r="G82" s="12"/>
    </row>
    <row r="83" spans="2:7" x14ac:dyDescent="0.3">
      <c r="B83" s="8"/>
      <c r="G83" s="12"/>
    </row>
    <row r="84" spans="2:7" x14ac:dyDescent="0.3">
      <c r="B84" s="8"/>
      <c r="G84" s="12"/>
    </row>
    <row r="85" spans="2:7" x14ac:dyDescent="0.3">
      <c r="B85" s="8"/>
      <c r="G85" s="12"/>
    </row>
    <row r="86" spans="2:7" x14ac:dyDescent="0.3">
      <c r="B86" s="8"/>
      <c r="G86" s="12"/>
    </row>
    <row r="87" spans="2:7" x14ac:dyDescent="0.3">
      <c r="B87" s="8"/>
      <c r="G87" s="12"/>
    </row>
    <row r="88" spans="2:7" x14ac:dyDescent="0.3">
      <c r="B88" s="8"/>
      <c r="G88" s="12"/>
    </row>
    <row r="89" spans="2:7" x14ac:dyDescent="0.3">
      <c r="B89" s="8"/>
      <c r="G89" s="12"/>
    </row>
    <row r="90" spans="2:7" x14ac:dyDescent="0.3">
      <c r="B90" s="8"/>
      <c r="G90" s="12"/>
    </row>
    <row r="91" spans="2:7" x14ac:dyDescent="0.3">
      <c r="B91" s="8"/>
      <c r="G91" s="12"/>
    </row>
    <row r="92" spans="2:7" x14ac:dyDescent="0.3">
      <c r="B92" s="8"/>
      <c r="G92" s="12"/>
    </row>
    <row r="93" spans="2:7" x14ac:dyDescent="0.3">
      <c r="B93" s="8"/>
      <c r="G93" s="12"/>
    </row>
    <row r="94" spans="2:7" x14ac:dyDescent="0.3">
      <c r="B94" s="8"/>
      <c r="G94" s="12"/>
    </row>
    <row r="95" spans="2:7" x14ac:dyDescent="0.3">
      <c r="B95" s="8"/>
    </row>
    <row r="96" spans="2:7" x14ac:dyDescent="0.3">
      <c r="B96" s="8"/>
    </row>
    <row r="97" spans="2:2" x14ac:dyDescent="0.3">
      <c r="B97" s="8"/>
    </row>
    <row r="98" spans="2:2" x14ac:dyDescent="0.3">
      <c r="B98" s="8"/>
    </row>
    <row r="99" spans="2:2" x14ac:dyDescent="0.3">
      <c r="B99" s="8"/>
    </row>
    <row r="100" spans="2:2" x14ac:dyDescent="0.3">
      <c r="B100" s="8"/>
    </row>
    <row r="101" spans="2:2" x14ac:dyDescent="0.3">
      <c r="B101" s="8"/>
    </row>
    <row r="102" spans="2:2" x14ac:dyDescent="0.3">
      <c r="B102" s="8"/>
    </row>
    <row r="103" spans="2:2" x14ac:dyDescent="0.3">
      <c r="B103" s="8"/>
    </row>
    <row r="104" spans="2:2" x14ac:dyDescent="0.3">
      <c r="B104" s="8"/>
    </row>
    <row r="105" spans="2:2" x14ac:dyDescent="0.3">
      <c r="B105" s="8"/>
    </row>
    <row r="106" spans="2:2" x14ac:dyDescent="0.3">
      <c r="B106" s="8"/>
    </row>
    <row r="107" spans="2:2" x14ac:dyDescent="0.3">
      <c r="B107" s="8"/>
    </row>
    <row r="108" spans="2:2" x14ac:dyDescent="0.3">
      <c r="B108" s="8"/>
    </row>
    <row r="109" spans="2:2" x14ac:dyDescent="0.3">
      <c r="B109" s="8"/>
    </row>
    <row r="110" spans="2:2" x14ac:dyDescent="0.3">
      <c r="B110" s="8"/>
    </row>
    <row r="111" spans="2:2" x14ac:dyDescent="0.3">
      <c r="B111" s="8"/>
    </row>
    <row r="112" spans="2:2" x14ac:dyDescent="0.3">
      <c r="B112" s="8"/>
    </row>
    <row r="113" spans="2:2" x14ac:dyDescent="0.3">
      <c r="B113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E57A-0FCD-4EB0-A0EA-599309239715}">
  <sheetPr>
    <tabColor theme="9" tint="-0.499984740745262"/>
  </sheetPr>
  <dimension ref="B2:J113"/>
  <sheetViews>
    <sheetView showGridLines="0" topLeftCell="B1" zoomScale="85" zoomScaleNormal="85" workbookViewId="0">
      <selection activeCell="I4" sqref="I4"/>
    </sheetView>
  </sheetViews>
  <sheetFormatPr defaultRowHeight="14.4" x14ac:dyDescent="0.3"/>
  <cols>
    <col min="2" max="7" width="20.77734375" customWidth="1"/>
    <col min="9" max="9" width="20.77734375" customWidth="1"/>
    <col min="10" max="10" width="9.44140625" bestFit="1" customWidth="1"/>
  </cols>
  <sheetData>
    <row r="2" spans="2:10" x14ac:dyDescent="0.3">
      <c r="B2" s="3" t="s">
        <v>18</v>
      </c>
      <c r="C2" s="3"/>
      <c r="D2" s="3"/>
      <c r="E2" s="3"/>
      <c r="F2" s="3"/>
      <c r="G2" s="3"/>
      <c r="I2" s="4" t="s">
        <v>19</v>
      </c>
    </row>
    <row r="3" spans="2:10" x14ac:dyDescent="0.3">
      <c r="B3" s="2" t="s">
        <v>20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</row>
    <row r="4" spans="2:10" x14ac:dyDescent="0.3">
      <c r="B4" s="8">
        <v>43831</v>
      </c>
      <c r="C4">
        <v>137.45401200000001</v>
      </c>
      <c r="D4">
        <v>144.78974299999999</v>
      </c>
      <c r="E4">
        <v>133.494113</v>
      </c>
      <c r="F4">
        <v>139.230572</v>
      </c>
      <c r="G4" s="12">
        <v>1067</v>
      </c>
      <c r="I4" s="13" t="e" cm="1" vm="23">
        <f t="array" ref="I4">_xlfn._xlws.PY(6,1,B3:G34)</f>
        <v>#VALUE!</v>
      </c>
    </row>
    <row r="5" spans="2:10" x14ac:dyDescent="0.3">
      <c r="B5" s="8">
        <v>43832</v>
      </c>
      <c r="C5">
        <v>195.07143099999999</v>
      </c>
      <c r="D5">
        <v>200.245698</v>
      </c>
      <c r="E5">
        <v>192.73894000000001</v>
      </c>
      <c r="F5">
        <v>199.241421</v>
      </c>
      <c r="G5" s="12">
        <v>1017</v>
      </c>
      <c r="I5" s="13"/>
    </row>
    <row r="6" spans="2:10" x14ac:dyDescent="0.3">
      <c r="B6" s="8">
        <v>43833</v>
      </c>
      <c r="C6">
        <v>173.19939400000001</v>
      </c>
      <c r="D6">
        <v>177.13923299999999</v>
      </c>
      <c r="E6">
        <v>171.850898</v>
      </c>
      <c r="F6">
        <v>175.086894</v>
      </c>
      <c r="G6" s="12">
        <v>1026</v>
      </c>
      <c r="I6" t="e" cm="1" vm="24">
        <f t="array" ref="I6">_xlfn._xlws.PY(19,1)</f>
        <v>#VALUE!</v>
      </c>
      <c r="J6" s="13"/>
    </row>
    <row r="7" spans="2:10" x14ac:dyDescent="0.3">
      <c r="B7" s="8">
        <v>43834</v>
      </c>
      <c r="C7">
        <v>159.865848</v>
      </c>
      <c r="D7">
        <v>169.04731699999999</v>
      </c>
      <c r="E7">
        <v>151.674825</v>
      </c>
      <c r="F7">
        <v>161.431422</v>
      </c>
      <c r="G7" s="12">
        <v>1094</v>
      </c>
    </row>
    <row r="8" spans="2:10" x14ac:dyDescent="0.3">
      <c r="B8" s="8">
        <v>43835</v>
      </c>
      <c r="C8">
        <v>115.60186400000001</v>
      </c>
      <c r="D8">
        <v>123.83734200000001</v>
      </c>
      <c r="E8">
        <v>109.16530899999999</v>
      </c>
      <c r="F8">
        <v>112.993055</v>
      </c>
      <c r="G8" s="12">
        <v>1082</v>
      </c>
      <c r="I8" cm="1" vm="2">
        <f t="array" ref="I8">_xlfn._xlws.PY(17,1)</f>
        <v>0</v>
      </c>
    </row>
    <row r="9" spans="2:10" x14ac:dyDescent="0.3">
      <c r="B9" s="8">
        <v>43836</v>
      </c>
      <c r="C9">
        <v>173.19939400000001</v>
      </c>
      <c r="D9">
        <v>177.13923299999999</v>
      </c>
      <c r="E9">
        <v>171.850898</v>
      </c>
      <c r="F9">
        <v>175.086894</v>
      </c>
      <c r="G9" s="12">
        <v>1167</v>
      </c>
    </row>
    <row r="10" spans="2:10" x14ac:dyDescent="0.3">
      <c r="B10" s="8">
        <v>43837</v>
      </c>
      <c r="C10">
        <v>159.865848</v>
      </c>
      <c r="D10">
        <v>169.04731699999999</v>
      </c>
      <c r="E10">
        <v>151.674825</v>
      </c>
      <c r="F10">
        <v>161.431422</v>
      </c>
      <c r="G10" s="12">
        <v>1076</v>
      </c>
    </row>
    <row r="11" spans="2:10" x14ac:dyDescent="0.3">
      <c r="B11" s="8">
        <v>43838</v>
      </c>
      <c r="C11">
        <v>115.60186400000001</v>
      </c>
      <c r="D11">
        <v>123.83734200000001</v>
      </c>
      <c r="E11">
        <v>109.16530899999999</v>
      </c>
      <c r="F11">
        <v>112.993055</v>
      </c>
      <c r="G11" s="12">
        <v>1154</v>
      </c>
    </row>
    <row r="12" spans="2:10" x14ac:dyDescent="0.3">
      <c r="B12" s="8">
        <v>43839</v>
      </c>
      <c r="C12">
        <v>133.736549642857</v>
      </c>
      <c r="D12">
        <v>141.999580607143</v>
      </c>
      <c r="E12">
        <v>126.55197610714301</v>
      </c>
      <c r="F12">
        <v>132.12518217857101</v>
      </c>
      <c r="G12" s="12">
        <v>1154</v>
      </c>
    </row>
    <row r="13" spans="2:10" x14ac:dyDescent="0.3">
      <c r="B13" s="8">
        <v>43840</v>
      </c>
      <c r="C13">
        <v>129.29301470238099</v>
      </c>
      <c r="D13">
        <v>137.85828671428601</v>
      </c>
      <c r="E13">
        <v>121.574217547619</v>
      </c>
      <c r="F13">
        <v>127.11148002380899</v>
      </c>
      <c r="G13" s="12">
        <v>1196</v>
      </c>
    </row>
    <row r="14" spans="2:10" x14ac:dyDescent="0.3">
      <c r="B14" s="8">
        <v>43841</v>
      </c>
      <c r="C14">
        <v>124.849479761905</v>
      </c>
      <c r="D14">
        <v>133.71699282142899</v>
      </c>
      <c r="E14">
        <v>116.59645898809499</v>
      </c>
      <c r="F14">
        <v>122.097777869048</v>
      </c>
      <c r="G14" s="12">
        <v>1036</v>
      </c>
    </row>
    <row r="15" spans="2:10" x14ac:dyDescent="0.3">
      <c r="B15" s="8">
        <v>43842</v>
      </c>
      <c r="C15">
        <v>120.405944821429</v>
      </c>
      <c r="D15">
        <v>129.575698928571</v>
      </c>
      <c r="E15">
        <v>111.618700428571</v>
      </c>
      <c r="F15">
        <v>117.084075714286</v>
      </c>
      <c r="G15" s="12">
        <v>1035</v>
      </c>
    </row>
    <row r="16" spans="2:10" x14ac:dyDescent="0.3">
      <c r="B16" s="8">
        <v>43843</v>
      </c>
      <c r="C16">
        <v>115.96240988095199</v>
      </c>
      <c r="D16">
        <v>125.43440503571399</v>
      </c>
      <c r="E16">
        <v>106.64094186904801</v>
      </c>
      <c r="F16">
        <v>112.070373559524</v>
      </c>
      <c r="G16" s="12">
        <v>1088</v>
      </c>
    </row>
    <row r="17" spans="2:9" x14ac:dyDescent="0.3">
      <c r="B17" s="8">
        <v>43844</v>
      </c>
      <c r="C17">
        <v>111.518874940476</v>
      </c>
      <c r="D17">
        <v>121.293111142857</v>
      </c>
      <c r="E17">
        <v>101.663183309524</v>
      </c>
      <c r="F17">
        <v>107.056671404762</v>
      </c>
      <c r="G17" s="12">
        <v>1041</v>
      </c>
    </row>
    <row r="18" spans="2:9" x14ac:dyDescent="0.3">
      <c r="B18" s="8">
        <v>43845</v>
      </c>
      <c r="C18">
        <v>107.07534</v>
      </c>
      <c r="D18">
        <v>117.15181724999999</v>
      </c>
      <c r="E18">
        <v>96.685424749999996</v>
      </c>
      <c r="F18">
        <v>102.04296925</v>
      </c>
      <c r="G18" s="12">
        <v>1127</v>
      </c>
    </row>
    <row r="19" spans="2:9" x14ac:dyDescent="0.3">
      <c r="B19" s="8">
        <v>43846</v>
      </c>
      <c r="C19">
        <v>102.631805059524</v>
      </c>
      <c r="D19">
        <v>113.010523357143</v>
      </c>
      <c r="E19">
        <v>91.707666190476203</v>
      </c>
      <c r="F19">
        <v>97.029267095237998</v>
      </c>
      <c r="G19" s="12">
        <v>1008</v>
      </c>
    </row>
    <row r="20" spans="2:9" x14ac:dyDescent="0.3">
      <c r="B20" s="8">
        <v>43847</v>
      </c>
      <c r="C20">
        <v>98.188270119047601</v>
      </c>
      <c r="D20">
        <v>108.86922946428599</v>
      </c>
      <c r="E20">
        <v>86.729907630952397</v>
      </c>
      <c r="F20">
        <v>92.015564940476196</v>
      </c>
      <c r="G20" s="12">
        <v>1111</v>
      </c>
    </row>
    <row r="21" spans="2:9" x14ac:dyDescent="0.3">
      <c r="B21" s="8">
        <v>43848</v>
      </c>
      <c r="C21">
        <v>93.744735178571403</v>
      </c>
      <c r="D21">
        <v>104.727935571429</v>
      </c>
      <c r="E21">
        <v>81.752149071428605</v>
      </c>
      <c r="F21">
        <v>87.001862785714295</v>
      </c>
      <c r="G21" s="12">
        <v>1103</v>
      </c>
      <c r="I21" s="13"/>
    </row>
    <row r="22" spans="2:9" x14ac:dyDescent="0.3">
      <c r="B22" s="8">
        <v>43849</v>
      </c>
      <c r="C22">
        <v>89.301200238095305</v>
      </c>
      <c r="D22">
        <v>100.586641678571</v>
      </c>
      <c r="E22">
        <v>76.774390511904798</v>
      </c>
      <c r="F22">
        <v>81.988160630952393</v>
      </c>
      <c r="G22" s="12">
        <v>1026</v>
      </c>
      <c r="I22" s="13" cm="1">
        <f t="array" ref="I22">_xlfn._xlws.PY(18,0)</f>
        <v>24.40210543792827</v>
      </c>
    </row>
    <row r="23" spans="2:9" x14ac:dyDescent="0.3">
      <c r="B23" s="8">
        <v>43850</v>
      </c>
      <c r="C23">
        <v>84.857665297619107</v>
      </c>
      <c r="D23">
        <v>96.445347785714304</v>
      </c>
      <c r="E23">
        <v>71.796631952380906</v>
      </c>
      <c r="F23">
        <v>76.974458476190406</v>
      </c>
      <c r="G23" s="12">
        <v>1026</v>
      </c>
    </row>
    <row r="24" spans="2:9" x14ac:dyDescent="0.3">
      <c r="B24" s="8">
        <v>43851</v>
      </c>
      <c r="C24">
        <v>80.414130357142895</v>
      </c>
      <c r="D24">
        <v>92.304053892857198</v>
      </c>
      <c r="E24">
        <v>66.8188733928571</v>
      </c>
      <c r="F24">
        <v>71.960756321428605</v>
      </c>
      <c r="G24" s="12">
        <v>1144</v>
      </c>
    </row>
    <row r="25" spans="2:9" x14ac:dyDescent="0.3">
      <c r="B25" s="8">
        <v>43852</v>
      </c>
      <c r="C25">
        <v>75.970595416666697</v>
      </c>
      <c r="D25">
        <v>88.162760000000006</v>
      </c>
      <c r="E25">
        <v>61.8411148333334</v>
      </c>
      <c r="F25">
        <v>66.947054166666604</v>
      </c>
      <c r="G25" s="12">
        <v>1141</v>
      </c>
    </row>
    <row r="26" spans="2:9" x14ac:dyDescent="0.3">
      <c r="B26" s="8">
        <v>43853</v>
      </c>
      <c r="C26">
        <v>71.527060476190499</v>
      </c>
      <c r="D26">
        <v>84.021466107142899</v>
      </c>
      <c r="E26">
        <v>56.863356273809401</v>
      </c>
      <c r="F26">
        <v>61.933352011904603</v>
      </c>
      <c r="G26" s="12">
        <v>1064</v>
      </c>
    </row>
    <row r="27" spans="2:9" x14ac:dyDescent="0.3">
      <c r="B27" s="8">
        <v>43854</v>
      </c>
      <c r="C27">
        <v>67.083525535714699</v>
      </c>
      <c r="D27">
        <v>79.880172214285807</v>
      </c>
      <c r="E27">
        <v>51.885597714285403</v>
      </c>
      <c r="F27">
        <v>56.919649857142602</v>
      </c>
      <c r="G27" s="12">
        <v>1178</v>
      </c>
    </row>
    <row r="28" spans="2:9" x14ac:dyDescent="0.3">
      <c r="B28" s="8">
        <v>43855</v>
      </c>
      <c r="C28">
        <v>62.639990595237698</v>
      </c>
      <c r="D28">
        <v>75.738878321428601</v>
      </c>
      <c r="E28">
        <v>46.907839154761398</v>
      </c>
      <c r="F28">
        <v>51.905947702380601</v>
      </c>
      <c r="G28" s="12">
        <v>1032</v>
      </c>
    </row>
    <row r="29" spans="2:9" x14ac:dyDescent="0.3">
      <c r="B29" s="8">
        <v>43856</v>
      </c>
      <c r="C29">
        <v>58.196455654761699</v>
      </c>
      <c r="D29">
        <v>71.597584428570997</v>
      </c>
      <c r="E29">
        <v>41.930080595238401</v>
      </c>
      <c r="F29">
        <v>46.8922455476186</v>
      </c>
      <c r="G29" s="12">
        <v>1011</v>
      </c>
    </row>
    <row r="30" spans="2:9" x14ac:dyDescent="0.3">
      <c r="B30" s="8">
        <v>43857</v>
      </c>
      <c r="C30">
        <v>53.7529207142857</v>
      </c>
      <c r="D30">
        <v>67.456290535714004</v>
      </c>
      <c r="E30">
        <v>36.952322035714403</v>
      </c>
      <c r="F30">
        <v>41.878543392856599</v>
      </c>
      <c r="G30" s="12">
        <v>1040</v>
      </c>
    </row>
    <row r="31" spans="2:9" x14ac:dyDescent="0.3">
      <c r="B31" s="8">
        <v>43858</v>
      </c>
      <c r="C31">
        <v>49.309385773809701</v>
      </c>
      <c r="D31">
        <v>63.314996642856997</v>
      </c>
      <c r="E31">
        <v>31.974563476190401</v>
      </c>
      <c r="F31">
        <v>36.8648412380956</v>
      </c>
      <c r="G31" s="12">
        <v>1072</v>
      </c>
    </row>
    <row r="32" spans="2:9" x14ac:dyDescent="0.3">
      <c r="B32" s="8">
        <v>43859</v>
      </c>
      <c r="C32">
        <v>44.865850833333702</v>
      </c>
      <c r="D32">
        <v>59.173702749999997</v>
      </c>
      <c r="E32">
        <v>26.996804916666299</v>
      </c>
      <c r="F32">
        <v>31.851139083333599</v>
      </c>
      <c r="G32" s="12">
        <v>1075</v>
      </c>
    </row>
    <row r="33" spans="2:7" x14ac:dyDescent="0.3">
      <c r="B33" s="8">
        <v>43860</v>
      </c>
      <c r="C33">
        <v>40.422315892856702</v>
      </c>
      <c r="D33">
        <v>55.032408857142997</v>
      </c>
      <c r="E33">
        <v>22.0190463571424</v>
      </c>
      <c r="F33">
        <v>26.837436928571599</v>
      </c>
      <c r="G33" s="12">
        <v>1060</v>
      </c>
    </row>
    <row r="34" spans="2:7" x14ac:dyDescent="0.3">
      <c r="B34" s="8">
        <v>43861</v>
      </c>
      <c r="C34">
        <v>35.978780952380703</v>
      </c>
      <c r="D34">
        <v>50.891114964285997</v>
      </c>
      <c r="E34">
        <v>17.0412877976194</v>
      </c>
      <c r="F34">
        <v>21.823734773809601</v>
      </c>
      <c r="G34" s="12">
        <v>1190</v>
      </c>
    </row>
    <row r="35" spans="2:7" x14ac:dyDescent="0.3">
      <c r="B35" s="8"/>
      <c r="G35" s="12"/>
    </row>
    <row r="36" spans="2:7" x14ac:dyDescent="0.3">
      <c r="B36" s="8"/>
      <c r="G36" s="12"/>
    </row>
    <row r="37" spans="2:7" x14ac:dyDescent="0.3">
      <c r="B37" s="8"/>
      <c r="G37" s="12"/>
    </row>
    <row r="38" spans="2:7" x14ac:dyDescent="0.3">
      <c r="B38" s="8"/>
      <c r="G38" s="12"/>
    </row>
    <row r="39" spans="2:7" x14ac:dyDescent="0.3">
      <c r="B39" s="8"/>
      <c r="G39" s="12"/>
    </row>
    <row r="40" spans="2:7" x14ac:dyDescent="0.3">
      <c r="B40" s="8"/>
      <c r="G40" s="12"/>
    </row>
    <row r="41" spans="2:7" x14ac:dyDescent="0.3">
      <c r="B41" s="8"/>
      <c r="G41" s="12"/>
    </row>
    <row r="42" spans="2:7" x14ac:dyDescent="0.3">
      <c r="B42" s="8"/>
      <c r="G42" s="12"/>
    </row>
    <row r="43" spans="2:7" x14ac:dyDescent="0.3">
      <c r="B43" s="8"/>
      <c r="G43" s="12"/>
    </row>
    <row r="44" spans="2:7" x14ac:dyDescent="0.3">
      <c r="B44" s="8"/>
      <c r="G44" s="12"/>
    </row>
    <row r="45" spans="2:7" x14ac:dyDescent="0.3">
      <c r="B45" s="8"/>
      <c r="G45" s="12"/>
    </row>
    <row r="46" spans="2:7" x14ac:dyDescent="0.3">
      <c r="B46" s="8"/>
      <c r="G46" s="12"/>
    </row>
    <row r="47" spans="2:7" x14ac:dyDescent="0.3">
      <c r="B47" s="8"/>
      <c r="G47" s="12"/>
    </row>
    <row r="48" spans="2:7" x14ac:dyDescent="0.3">
      <c r="B48" s="8"/>
      <c r="G48" s="12"/>
    </row>
    <row r="49" spans="2:7" x14ac:dyDescent="0.3">
      <c r="B49" s="8"/>
      <c r="G49" s="12"/>
    </row>
    <row r="50" spans="2:7" x14ac:dyDescent="0.3">
      <c r="B50" s="8"/>
      <c r="G50" s="12"/>
    </row>
    <row r="51" spans="2:7" x14ac:dyDescent="0.3">
      <c r="B51" s="8"/>
      <c r="G51" s="12"/>
    </row>
    <row r="52" spans="2:7" x14ac:dyDescent="0.3">
      <c r="B52" s="8"/>
      <c r="G52" s="12"/>
    </row>
    <row r="53" spans="2:7" x14ac:dyDescent="0.3">
      <c r="B53" s="8"/>
      <c r="G53" s="12"/>
    </row>
    <row r="54" spans="2:7" x14ac:dyDescent="0.3">
      <c r="B54" s="8"/>
      <c r="G54" s="12"/>
    </row>
    <row r="55" spans="2:7" x14ac:dyDescent="0.3">
      <c r="B55" s="8"/>
      <c r="G55" s="12"/>
    </row>
    <row r="56" spans="2:7" x14ac:dyDescent="0.3">
      <c r="B56" s="8"/>
      <c r="G56" s="12"/>
    </row>
    <row r="57" spans="2:7" x14ac:dyDescent="0.3">
      <c r="B57" s="8"/>
      <c r="G57" s="12"/>
    </row>
    <row r="58" spans="2:7" x14ac:dyDescent="0.3">
      <c r="B58" s="8"/>
      <c r="G58" s="12"/>
    </row>
    <row r="59" spans="2:7" x14ac:dyDescent="0.3">
      <c r="B59" s="8"/>
      <c r="G59" s="12"/>
    </row>
    <row r="60" spans="2:7" x14ac:dyDescent="0.3">
      <c r="B60" s="8"/>
      <c r="G60" s="12"/>
    </row>
    <row r="61" spans="2:7" x14ac:dyDescent="0.3">
      <c r="B61" s="8"/>
      <c r="G61" s="12"/>
    </row>
    <row r="62" spans="2:7" x14ac:dyDescent="0.3">
      <c r="B62" s="8"/>
      <c r="G62" s="12"/>
    </row>
    <row r="63" spans="2:7" x14ac:dyDescent="0.3">
      <c r="B63" s="8"/>
      <c r="G63" s="12"/>
    </row>
    <row r="64" spans="2:7" x14ac:dyDescent="0.3">
      <c r="B64" s="8"/>
      <c r="G64" s="12"/>
    </row>
    <row r="65" spans="2:7" x14ac:dyDescent="0.3">
      <c r="B65" s="8"/>
      <c r="G65" s="12"/>
    </row>
    <row r="66" spans="2:7" x14ac:dyDescent="0.3">
      <c r="B66" s="8"/>
      <c r="G66" s="12"/>
    </row>
    <row r="67" spans="2:7" x14ac:dyDescent="0.3">
      <c r="B67" s="8"/>
      <c r="G67" s="12"/>
    </row>
    <row r="68" spans="2:7" x14ac:dyDescent="0.3">
      <c r="B68" s="8"/>
      <c r="G68" s="12"/>
    </row>
    <row r="69" spans="2:7" x14ac:dyDescent="0.3">
      <c r="B69" s="8"/>
      <c r="G69" s="12"/>
    </row>
    <row r="70" spans="2:7" x14ac:dyDescent="0.3">
      <c r="B70" s="8"/>
      <c r="G70" s="12"/>
    </row>
    <row r="71" spans="2:7" x14ac:dyDescent="0.3">
      <c r="B71" s="8"/>
      <c r="G71" s="12"/>
    </row>
    <row r="72" spans="2:7" x14ac:dyDescent="0.3">
      <c r="B72" s="8"/>
      <c r="G72" s="12"/>
    </row>
    <row r="73" spans="2:7" x14ac:dyDescent="0.3">
      <c r="B73" s="8"/>
      <c r="G73" s="12"/>
    </row>
    <row r="74" spans="2:7" x14ac:dyDescent="0.3">
      <c r="B74" s="8"/>
      <c r="G74" s="12"/>
    </row>
    <row r="75" spans="2:7" x14ac:dyDescent="0.3">
      <c r="B75" s="8"/>
      <c r="G75" s="12"/>
    </row>
    <row r="76" spans="2:7" x14ac:dyDescent="0.3">
      <c r="B76" s="8"/>
      <c r="G76" s="12"/>
    </row>
    <row r="77" spans="2:7" x14ac:dyDescent="0.3">
      <c r="B77" s="8"/>
      <c r="G77" s="12"/>
    </row>
    <row r="78" spans="2:7" x14ac:dyDescent="0.3">
      <c r="B78" s="8"/>
      <c r="G78" s="12"/>
    </row>
    <row r="79" spans="2:7" x14ac:dyDescent="0.3">
      <c r="B79" s="8"/>
      <c r="G79" s="12"/>
    </row>
    <row r="80" spans="2:7" x14ac:dyDescent="0.3">
      <c r="B80" s="8"/>
      <c r="G80" s="12"/>
    </row>
    <row r="81" spans="2:7" x14ac:dyDescent="0.3">
      <c r="B81" s="8"/>
      <c r="G81" s="12"/>
    </row>
    <row r="82" spans="2:7" x14ac:dyDescent="0.3">
      <c r="B82" s="8"/>
      <c r="G82" s="12"/>
    </row>
    <row r="83" spans="2:7" x14ac:dyDescent="0.3">
      <c r="B83" s="8"/>
      <c r="G83" s="12"/>
    </row>
    <row r="84" spans="2:7" x14ac:dyDescent="0.3">
      <c r="B84" s="8"/>
      <c r="G84" s="12"/>
    </row>
    <row r="85" spans="2:7" x14ac:dyDescent="0.3">
      <c r="B85" s="8"/>
      <c r="G85" s="12"/>
    </row>
    <row r="86" spans="2:7" x14ac:dyDescent="0.3">
      <c r="B86" s="8"/>
      <c r="G86" s="12"/>
    </row>
    <row r="87" spans="2:7" x14ac:dyDescent="0.3">
      <c r="B87" s="8"/>
      <c r="G87" s="12"/>
    </row>
    <row r="88" spans="2:7" x14ac:dyDescent="0.3">
      <c r="B88" s="8"/>
      <c r="G88" s="12"/>
    </row>
    <row r="89" spans="2:7" x14ac:dyDescent="0.3">
      <c r="B89" s="8"/>
      <c r="G89" s="12"/>
    </row>
    <row r="90" spans="2:7" x14ac:dyDescent="0.3">
      <c r="B90" s="8"/>
      <c r="G90" s="12"/>
    </row>
    <row r="91" spans="2:7" x14ac:dyDescent="0.3">
      <c r="B91" s="8"/>
      <c r="G91" s="12"/>
    </row>
    <row r="92" spans="2:7" x14ac:dyDescent="0.3">
      <c r="B92" s="8"/>
      <c r="G92" s="12"/>
    </row>
    <row r="93" spans="2:7" x14ac:dyDescent="0.3">
      <c r="B93" s="8"/>
      <c r="G93" s="12"/>
    </row>
    <row r="94" spans="2:7" x14ac:dyDescent="0.3">
      <c r="B94" s="8"/>
      <c r="G94" s="12"/>
    </row>
    <row r="95" spans="2:7" x14ac:dyDescent="0.3">
      <c r="B95" s="8"/>
    </row>
    <row r="96" spans="2:7" x14ac:dyDescent="0.3">
      <c r="B96" s="8"/>
    </row>
    <row r="97" spans="2:2" x14ac:dyDescent="0.3">
      <c r="B97" s="8"/>
    </row>
    <row r="98" spans="2:2" x14ac:dyDescent="0.3">
      <c r="B98" s="8"/>
    </row>
    <row r="99" spans="2:2" x14ac:dyDescent="0.3">
      <c r="B99" s="8"/>
    </row>
    <row r="100" spans="2:2" x14ac:dyDescent="0.3">
      <c r="B100" s="8"/>
    </row>
    <row r="101" spans="2:2" x14ac:dyDescent="0.3">
      <c r="B101" s="8"/>
    </row>
    <row r="102" spans="2:2" x14ac:dyDescent="0.3">
      <c r="B102" s="8"/>
    </row>
    <row r="103" spans="2:2" x14ac:dyDescent="0.3">
      <c r="B103" s="8"/>
    </row>
    <row r="104" spans="2:2" x14ac:dyDescent="0.3">
      <c r="B104" s="8"/>
    </row>
    <row r="105" spans="2:2" x14ac:dyDescent="0.3">
      <c r="B105" s="8"/>
    </row>
    <row r="106" spans="2:2" x14ac:dyDescent="0.3">
      <c r="B106" s="8"/>
    </row>
    <row r="107" spans="2:2" x14ac:dyDescent="0.3">
      <c r="B107" s="8"/>
    </row>
    <row r="108" spans="2:2" x14ac:dyDescent="0.3">
      <c r="B108" s="8"/>
    </row>
    <row r="109" spans="2:2" x14ac:dyDescent="0.3">
      <c r="B109" s="8"/>
    </row>
    <row r="110" spans="2:2" x14ac:dyDescent="0.3">
      <c r="B110" s="8"/>
    </row>
    <row r="111" spans="2:2" x14ac:dyDescent="0.3">
      <c r="B111" s="8"/>
    </row>
    <row r="112" spans="2:2" x14ac:dyDescent="0.3">
      <c r="B112" s="8"/>
    </row>
    <row r="113" spans="2:2" x14ac:dyDescent="0.3">
      <c r="B11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96CE-2EE2-4411-A0F5-5462E5B4D838}">
  <sheetPr>
    <tabColor theme="9" tint="-0.499984740745262"/>
  </sheetPr>
  <dimension ref="B2:H15"/>
  <sheetViews>
    <sheetView showGridLines="0" zoomScale="85" zoomScaleNormal="85" workbookViewId="0">
      <selection activeCell="K30" sqref="K30"/>
    </sheetView>
  </sheetViews>
  <sheetFormatPr defaultRowHeight="14.4" x14ac:dyDescent="0.3"/>
  <cols>
    <col min="2" max="3" width="16.109375" customWidth="1"/>
    <col min="4" max="5" width="19.77734375" customWidth="1"/>
    <col min="6" max="6" width="16.109375" customWidth="1"/>
    <col min="8" max="8" width="17.77734375" customWidth="1"/>
  </cols>
  <sheetData>
    <row r="2" spans="2:8" x14ac:dyDescent="0.3">
      <c r="B2" s="3" t="s">
        <v>18</v>
      </c>
      <c r="C2" s="3"/>
      <c r="D2" s="3"/>
      <c r="E2" s="3"/>
      <c r="F2" s="3"/>
      <c r="H2" s="4" t="s">
        <v>19</v>
      </c>
    </row>
    <row r="3" spans="2:8" x14ac:dyDescent="0.3">
      <c r="B3" s="2" t="s">
        <v>29</v>
      </c>
      <c r="C3" s="2" t="s">
        <v>0</v>
      </c>
      <c r="D3" s="2" t="s">
        <v>30</v>
      </c>
      <c r="E3" s="2" t="s">
        <v>23</v>
      </c>
      <c r="F3" s="2" t="s">
        <v>31</v>
      </c>
    </row>
    <row r="4" spans="2:8" x14ac:dyDescent="0.3">
      <c r="B4" s="6" t="s">
        <v>32</v>
      </c>
      <c r="C4" s="6">
        <v>20000</v>
      </c>
      <c r="D4" s="6">
        <v>1500</v>
      </c>
      <c r="E4" s="6">
        <v>1.1000000000000001</v>
      </c>
      <c r="F4" s="6">
        <v>0.8</v>
      </c>
      <c r="H4" s="6" t="e" cm="1" vm="25">
        <f t="array" ref="H4">_xlfn._xlws.PY(6,1,B3:F15)</f>
        <v>#VALUE!</v>
      </c>
    </row>
    <row r="5" spans="2:8" x14ac:dyDescent="0.3">
      <c r="B5" s="6" t="s">
        <v>33</v>
      </c>
      <c r="C5" s="6">
        <v>21000</v>
      </c>
      <c r="D5" s="6">
        <v>1600</v>
      </c>
      <c r="E5" s="6">
        <v>1.2</v>
      </c>
      <c r="F5" s="6">
        <v>0.9</v>
      </c>
      <c r="H5" s="6"/>
    </row>
    <row r="6" spans="2:8" x14ac:dyDescent="0.3">
      <c r="B6" s="6" t="s">
        <v>34</v>
      </c>
      <c r="C6" s="6">
        <v>25000</v>
      </c>
      <c r="D6" s="6">
        <v>1700</v>
      </c>
      <c r="E6" s="6">
        <v>1.3</v>
      </c>
      <c r="F6" s="6">
        <v>1</v>
      </c>
      <c r="H6" s="6" cm="1" vm="2">
        <f t="array" ref="H6">_xlfn._xlws.PY(20,1)</f>
        <v>0</v>
      </c>
    </row>
    <row r="7" spans="2:8" x14ac:dyDescent="0.3">
      <c r="B7" s="6" t="s">
        <v>35</v>
      </c>
      <c r="C7" s="6">
        <v>24000</v>
      </c>
      <c r="D7" s="6">
        <v>1800</v>
      </c>
      <c r="E7" s="6">
        <v>1.4</v>
      </c>
      <c r="F7" s="6">
        <v>1.1000000000000001</v>
      </c>
      <c r="H7" s="6"/>
    </row>
    <row r="8" spans="2:8" x14ac:dyDescent="0.3">
      <c r="B8" s="6" t="s">
        <v>36</v>
      </c>
      <c r="C8" s="6">
        <v>23000</v>
      </c>
      <c r="D8" s="6">
        <v>1500</v>
      </c>
      <c r="E8" s="6">
        <v>1.2</v>
      </c>
      <c r="F8" s="6">
        <v>0.9</v>
      </c>
      <c r="H8" s="6" cm="1">
        <f t="array" ref="H8:H10">_xlfn._xlws.PY(21,0)</f>
        <v>30809.500959692898</v>
      </c>
    </row>
    <row r="9" spans="2:8" x14ac:dyDescent="0.3">
      <c r="B9" s="6" t="s">
        <v>37</v>
      </c>
      <c r="C9" s="6">
        <v>22000</v>
      </c>
      <c r="D9" s="6">
        <v>1600</v>
      </c>
      <c r="E9" s="6">
        <v>1.3</v>
      </c>
      <c r="F9" s="6">
        <v>0.8</v>
      </c>
      <c r="H9" s="6">
        <v>29401.151631477926</v>
      </c>
    </row>
    <row r="10" spans="2:8" x14ac:dyDescent="0.3">
      <c r="B10" s="6" t="s">
        <v>38</v>
      </c>
      <c r="C10" s="6">
        <v>26000</v>
      </c>
      <c r="D10" s="6">
        <v>1800</v>
      </c>
      <c r="E10" s="6">
        <v>1.4</v>
      </c>
      <c r="F10" s="6">
        <v>1</v>
      </c>
      <c r="H10" s="6">
        <v>21038.867562380037</v>
      </c>
    </row>
    <row r="11" spans="2:8" x14ac:dyDescent="0.3">
      <c r="B11" s="6" t="s">
        <v>39</v>
      </c>
      <c r="C11" s="6">
        <v>27000</v>
      </c>
      <c r="D11" s="6">
        <v>2000</v>
      </c>
      <c r="E11" s="6">
        <v>1.5</v>
      </c>
      <c r="F11" s="6">
        <v>1.1000000000000001</v>
      </c>
    </row>
    <row r="12" spans="2:8" x14ac:dyDescent="0.3">
      <c r="B12" s="6" t="s">
        <v>40</v>
      </c>
      <c r="C12" s="6">
        <v>28000</v>
      </c>
      <c r="D12" s="6">
        <v>2100</v>
      </c>
      <c r="E12" s="6">
        <v>1.6</v>
      </c>
      <c r="F12" s="6">
        <v>1.2</v>
      </c>
    </row>
    <row r="13" spans="2:8" x14ac:dyDescent="0.3">
      <c r="B13" s="6" t="s">
        <v>41</v>
      </c>
      <c r="C13" s="6">
        <v>30000</v>
      </c>
      <c r="D13" s="6">
        <v>2200</v>
      </c>
      <c r="E13" s="6">
        <v>1.7</v>
      </c>
      <c r="F13" s="6">
        <v>1.3</v>
      </c>
    </row>
    <row r="14" spans="2:8" x14ac:dyDescent="0.3">
      <c r="B14" s="6" t="s">
        <v>42</v>
      </c>
      <c r="C14" s="6">
        <v>31000</v>
      </c>
      <c r="D14" s="6">
        <v>2300</v>
      </c>
      <c r="E14" s="6">
        <v>1.8</v>
      </c>
      <c r="F14" s="6">
        <v>1.4</v>
      </c>
    </row>
    <row r="15" spans="2:8" x14ac:dyDescent="0.3">
      <c r="B15" s="6" t="s">
        <v>43</v>
      </c>
      <c r="C15" s="6">
        <v>32000</v>
      </c>
      <c r="D15" s="6">
        <v>2400</v>
      </c>
      <c r="E15" s="6">
        <v>1.9</v>
      </c>
      <c r="F15" s="6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ADF4-2971-4C01-8356-58D88F6D50FB}">
  <sheetPr>
    <tabColor theme="9" tint="-0.499984740745262"/>
  </sheetPr>
  <dimension ref="B2:J15"/>
  <sheetViews>
    <sheetView showGridLines="0" zoomScale="110" zoomScaleNormal="110" workbookViewId="0">
      <selection activeCell="F24" sqref="F24"/>
    </sheetView>
  </sheetViews>
  <sheetFormatPr defaultRowHeight="14.4" x14ac:dyDescent="0.3"/>
  <cols>
    <col min="2" max="3" width="16.109375" customWidth="1"/>
    <col min="4" max="5" width="19.77734375" customWidth="1"/>
    <col min="6" max="6" width="16.109375" customWidth="1"/>
    <col min="8" max="8" width="17.77734375" customWidth="1"/>
    <col min="10" max="10" width="10.21875" bestFit="1" customWidth="1"/>
    <col min="12" max="12" width="11.109375" bestFit="1" customWidth="1"/>
  </cols>
  <sheetData>
    <row r="2" spans="2:10" x14ac:dyDescent="0.3">
      <c r="B2" s="3" t="s">
        <v>18</v>
      </c>
      <c r="C2" s="3"/>
      <c r="D2" s="3"/>
      <c r="E2" s="3"/>
      <c r="F2" s="3"/>
      <c r="H2" s="4" t="s">
        <v>19</v>
      </c>
    </row>
    <row r="3" spans="2:10" x14ac:dyDescent="0.3">
      <c r="B3" s="2" t="s">
        <v>29</v>
      </c>
      <c r="C3" s="2" t="s">
        <v>0</v>
      </c>
      <c r="D3" s="2" t="s">
        <v>30</v>
      </c>
      <c r="E3" s="2" t="s">
        <v>23</v>
      </c>
      <c r="F3" s="2" t="s">
        <v>31</v>
      </c>
    </row>
    <row r="4" spans="2:10" x14ac:dyDescent="0.3">
      <c r="B4" s="6" t="s">
        <v>32</v>
      </c>
      <c r="C4" s="6">
        <v>20000</v>
      </c>
      <c r="D4" s="6">
        <v>1500</v>
      </c>
      <c r="E4" s="6">
        <v>1.1000000000000001</v>
      </c>
      <c r="F4" s="6">
        <v>0.8</v>
      </c>
      <c r="H4" s="6" t="e" cm="1" vm="25">
        <f t="array" ref="H4">_xlfn._xlws.PY(6,1,B3:F15)</f>
        <v>#VALUE!</v>
      </c>
    </row>
    <row r="5" spans="2:10" x14ac:dyDescent="0.3">
      <c r="B5" s="6" t="s">
        <v>33</v>
      </c>
      <c r="C5" s="6">
        <v>21000</v>
      </c>
      <c r="D5" s="6">
        <v>1600</v>
      </c>
      <c r="E5" s="6">
        <v>1.2</v>
      </c>
      <c r="F5" s="6">
        <v>0.9</v>
      </c>
      <c r="H5" s="6"/>
    </row>
    <row r="6" spans="2:10" x14ac:dyDescent="0.3">
      <c r="B6" s="6" t="s">
        <v>34</v>
      </c>
      <c r="C6" s="6">
        <v>25000</v>
      </c>
      <c r="D6" s="6">
        <v>1700</v>
      </c>
      <c r="E6" s="6">
        <v>1.3</v>
      </c>
      <c r="F6" s="6">
        <v>1</v>
      </c>
      <c r="H6" s="6" t="e" cm="1" vm="26">
        <f t="array" ref="H6">_xlfn._xlws.PY(22,1)</f>
        <v>#VALUE!</v>
      </c>
    </row>
    <row r="7" spans="2:10" x14ac:dyDescent="0.3">
      <c r="B7" s="6" t="s">
        <v>35</v>
      </c>
      <c r="C7" s="6">
        <v>24000</v>
      </c>
      <c r="D7" s="6">
        <v>1800</v>
      </c>
      <c r="E7" s="6">
        <v>1.4</v>
      </c>
      <c r="F7" s="6">
        <v>1.1000000000000001</v>
      </c>
      <c r="H7" s="6"/>
    </row>
    <row r="8" spans="2:10" x14ac:dyDescent="0.3">
      <c r="B8" s="6" t="s">
        <v>36</v>
      </c>
      <c r="C8" s="6">
        <v>23000</v>
      </c>
      <c r="D8" s="6">
        <v>1500</v>
      </c>
      <c r="E8" s="6">
        <v>1.2</v>
      </c>
      <c r="F8" s="6">
        <v>0.9</v>
      </c>
      <c r="H8" s="6" cm="1" vm="2">
        <f t="array" ref="H8">_xlfn._xlws.PY(20,1)</f>
        <v>0</v>
      </c>
    </row>
    <row r="9" spans="2:10" x14ac:dyDescent="0.3">
      <c r="B9" s="6" t="s">
        <v>37</v>
      </c>
      <c r="C9" s="6">
        <v>22000</v>
      </c>
      <c r="D9" s="6">
        <v>1600</v>
      </c>
      <c r="E9" s="6">
        <v>1.3</v>
      </c>
      <c r="F9" s="6">
        <v>0.8</v>
      </c>
      <c r="H9" s="6"/>
    </row>
    <row r="10" spans="2:10" x14ac:dyDescent="0.3">
      <c r="B10" s="6" t="s">
        <v>38</v>
      </c>
      <c r="C10" s="6">
        <v>26000</v>
      </c>
      <c r="D10" s="6">
        <v>1800</v>
      </c>
      <c r="E10" s="6">
        <v>1.4</v>
      </c>
      <c r="F10" s="6">
        <v>1</v>
      </c>
      <c r="I10" t="str" cm="1">
        <f t="array" ref="I10:J13">_xlfn._xlws.PY(23,0)</f>
        <v/>
      </c>
      <c r="J10" t="str">
        <v>Sales</v>
      </c>
    </row>
    <row r="11" spans="2:10" x14ac:dyDescent="0.3">
      <c r="B11" s="6" t="s">
        <v>39</v>
      </c>
      <c r="C11" s="6">
        <v>27000</v>
      </c>
      <c r="D11" s="6">
        <v>2000</v>
      </c>
      <c r="E11" s="6">
        <v>1.5</v>
      </c>
      <c r="F11" s="6">
        <v>1.1000000000000001</v>
      </c>
      <c r="H11" s="17" cm="1">
        <f t="array" ref="H11:H13">_xlfn._xlws.PY(21,0)</f>
        <v>30809.500959692898</v>
      </c>
      <c r="I11">
        <v>10</v>
      </c>
      <c r="J11" s="18">
        <v>31000</v>
      </c>
    </row>
    <row r="12" spans="2:10" x14ac:dyDescent="0.3">
      <c r="B12" s="6" t="s">
        <v>40</v>
      </c>
      <c r="C12" s="6">
        <v>28000</v>
      </c>
      <c r="D12" s="6">
        <v>2100</v>
      </c>
      <c r="E12" s="6">
        <v>1.6</v>
      </c>
      <c r="F12" s="6">
        <v>1.2</v>
      </c>
      <c r="H12" s="17">
        <v>29401.151631477926</v>
      </c>
      <c r="I12">
        <v>9</v>
      </c>
      <c r="J12" s="18">
        <v>30000</v>
      </c>
    </row>
    <row r="13" spans="2:10" x14ac:dyDescent="0.3">
      <c r="B13" s="6" t="s">
        <v>41</v>
      </c>
      <c r="C13" s="6">
        <v>30000</v>
      </c>
      <c r="D13" s="6">
        <v>2200</v>
      </c>
      <c r="E13" s="6">
        <v>1.7</v>
      </c>
      <c r="F13" s="6">
        <v>1.3</v>
      </c>
      <c r="H13" s="17">
        <v>21038.867562380037</v>
      </c>
      <c r="I13">
        <v>0</v>
      </c>
      <c r="J13" s="18">
        <v>20000</v>
      </c>
    </row>
    <row r="14" spans="2:10" x14ac:dyDescent="0.3">
      <c r="B14" s="6" t="s">
        <v>42</v>
      </c>
      <c r="C14" s="6">
        <v>31000</v>
      </c>
      <c r="D14" s="6">
        <v>2300</v>
      </c>
      <c r="E14" s="6">
        <v>1.8</v>
      </c>
      <c r="F14" s="6">
        <v>1.4</v>
      </c>
    </row>
    <row r="15" spans="2:10" x14ac:dyDescent="0.3">
      <c r="B15" s="6" t="s">
        <v>43</v>
      </c>
      <c r="C15" s="6">
        <v>32000</v>
      </c>
      <c r="D15" s="6">
        <v>2400</v>
      </c>
      <c r="E15" s="6">
        <v>1.9</v>
      </c>
      <c r="F15" s="6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8690-CACE-4288-9F2B-2D3D8F8C480D}">
  <sheetPr>
    <tabColor theme="9" tint="-0.499984740745262"/>
  </sheetPr>
  <dimension ref="B2:E85"/>
  <sheetViews>
    <sheetView showGridLines="0" showRowColHeaders="0" zoomScale="85" zoomScaleNormal="85" workbookViewId="0">
      <selection activeCell="G3" sqref="G3"/>
    </sheetView>
  </sheetViews>
  <sheetFormatPr defaultRowHeight="14.4" x14ac:dyDescent="0.3"/>
  <cols>
    <col min="2" max="3" width="18" customWidth="1"/>
    <col min="4" max="4" width="4.5546875" customWidth="1"/>
    <col min="5" max="5" width="18" customWidth="1"/>
  </cols>
  <sheetData>
    <row r="2" spans="2:5" x14ac:dyDescent="0.3">
      <c r="B2" s="3" t="s">
        <v>18</v>
      </c>
      <c r="C2" s="3"/>
      <c r="E2" s="4" t="s">
        <v>19</v>
      </c>
    </row>
    <row r="3" spans="2:5" x14ac:dyDescent="0.3">
      <c r="B3" s="2" t="s">
        <v>29</v>
      </c>
      <c r="C3" s="2" t="s">
        <v>44</v>
      </c>
    </row>
    <row r="4" spans="2:5" x14ac:dyDescent="0.3">
      <c r="B4" s="14">
        <v>43466</v>
      </c>
      <c r="C4" s="6">
        <v>1483</v>
      </c>
      <c r="E4" s="6" t="e" cm="1" vm="27">
        <f t="array" ref="E4">_xlfn._xlws.PY(24,1,B3:C63)</f>
        <v>#VALUE!</v>
      </c>
    </row>
    <row r="5" spans="2:5" x14ac:dyDescent="0.3">
      <c r="B5" s="14">
        <v>43497</v>
      </c>
      <c r="C5" s="6">
        <v>1382</v>
      </c>
    </row>
    <row r="6" spans="2:5" x14ac:dyDescent="0.3">
      <c r="B6" s="14">
        <v>43525</v>
      </c>
      <c r="C6" s="6">
        <v>1367</v>
      </c>
      <c r="E6" s="6" t="e" cm="1" vm="28">
        <f t="array" ref="E6">_xlfn._xlws.PY(25,1)</f>
        <v>#VALUE!</v>
      </c>
    </row>
    <row r="7" spans="2:5" x14ac:dyDescent="0.3">
      <c r="B7" s="14">
        <v>43556</v>
      </c>
      <c r="C7" s="6">
        <v>1206</v>
      </c>
    </row>
    <row r="8" spans="2:5" x14ac:dyDescent="0.3">
      <c r="B8" s="14">
        <v>43586</v>
      </c>
      <c r="C8" s="6">
        <v>1290</v>
      </c>
    </row>
    <row r="9" spans="2:5" x14ac:dyDescent="0.3">
      <c r="B9" s="14">
        <v>43617</v>
      </c>
      <c r="C9" s="6">
        <v>1323</v>
      </c>
    </row>
    <row r="10" spans="2:5" x14ac:dyDescent="0.3">
      <c r="B10" s="14">
        <v>43647</v>
      </c>
      <c r="C10" s="6">
        <v>1498</v>
      </c>
    </row>
    <row r="11" spans="2:5" x14ac:dyDescent="0.3">
      <c r="B11" s="14">
        <v>43678</v>
      </c>
      <c r="C11" s="6">
        <v>1485</v>
      </c>
    </row>
    <row r="12" spans="2:5" x14ac:dyDescent="0.3">
      <c r="B12" s="14">
        <v>43709</v>
      </c>
      <c r="C12" s="6">
        <v>1212</v>
      </c>
    </row>
    <row r="13" spans="2:5" x14ac:dyDescent="0.3">
      <c r="B13" s="14">
        <v>43739</v>
      </c>
      <c r="C13" s="6">
        <v>1095</v>
      </c>
    </row>
    <row r="14" spans="2:5" x14ac:dyDescent="0.3">
      <c r="B14" s="14">
        <v>43770</v>
      </c>
      <c r="C14" s="6">
        <v>1021</v>
      </c>
    </row>
    <row r="15" spans="2:5" x14ac:dyDescent="0.3">
      <c r="B15" s="14">
        <v>43800</v>
      </c>
      <c r="C15" s="6">
        <v>1117</v>
      </c>
    </row>
    <row r="16" spans="2:5" x14ac:dyDescent="0.3">
      <c r="B16" s="14">
        <v>43831</v>
      </c>
      <c r="C16" s="6">
        <v>1104</v>
      </c>
    </row>
    <row r="17" spans="2:3" x14ac:dyDescent="0.3">
      <c r="B17" s="14">
        <v>43862</v>
      </c>
      <c r="C17" s="6">
        <v>1009</v>
      </c>
    </row>
    <row r="18" spans="2:3" x14ac:dyDescent="0.3">
      <c r="B18" s="14">
        <v>43891</v>
      </c>
      <c r="C18" s="6">
        <v>1383</v>
      </c>
    </row>
    <row r="19" spans="2:3" x14ac:dyDescent="0.3">
      <c r="B19" s="14">
        <v>43922</v>
      </c>
      <c r="C19" s="6">
        <v>1152</v>
      </c>
    </row>
    <row r="20" spans="2:3" x14ac:dyDescent="0.3">
      <c r="B20" s="14">
        <v>43952</v>
      </c>
      <c r="C20" s="6">
        <v>1064</v>
      </c>
    </row>
    <row r="21" spans="2:3" x14ac:dyDescent="0.3">
      <c r="B21" s="14">
        <v>43983</v>
      </c>
      <c r="C21" s="6">
        <v>1277</v>
      </c>
    </row>
    <row r="22" spans="2:3" x14ac:dyDescent="0.3">
      <c r="B22" s="14">
        <v>44013</v>
      </c>
      <c r="C22" s="6">
        <v>1325</v>
      </c>
    </row>
    <row r="23" spans="2:3" x14ac:dyDescent="0.3">
      <c r="B23" s="14">
        <v>44044</v>
      </c>
      <c r="C23" s="6">
        <v>1220</v>
      </c>
    </row>
    <row r="24" spans="2:3" x14ac:dyDescent="0.3">
      <c r="B24" s="14">
        <v>44075</v>
      </c>
      <c r="C24" s="6">
        <v>1168</v>
      </c>
    </row>
    <row r="25" spans="2:3" x14ac:dyDescent="0.3">
      <c r="B25" s="14">
        <v>44105</v>
      </c>
      <c r="C25" s="6">
        <v>1233</v>
      </c>
    </row>
    <row r="26" spans="2:3" x14ac:dyDescent="0.3">
      <c r="B26" s="14">
        <v>44136</v>
      </c>
      <c r="C26" s="6">
        <v>1179</v>
      </c>
    </row>
    <row r="27" spans="2:3" x14ac:dyDescent="0.3">
      <c r="B27" s="14">
        <v>44166</v>
      </c>
      <c r="C27" s="6">
        <v>1067</v>
      </c>
    </row>
    <row r="28" spans="2:3" x14ac:dyDescent="0.3">
      <c r="B28" s="14">
        <v>44197</v>
      </c>
      <c r="C28" s="6">
        <v>1270</v>
      </c>
    </row>
    <row r="29" spans="2:3" x14ac:dyDescent="0.3">
      <c r="B29" s="14">
        <v>44228</v>
      </c>
      <c r="C29" s="6">
        <v>1463</v>
      </c>
    </row>
    <row r="30" spans="2:3" x14ac:dyDescent="0.3">
      <c r="B30" s="14">
        <v>44256</v>
      </c>
      <c r="C30" s="6">
        <v>1425</v>
      </c>
    </row>
    <row r="31" spans="2:3" x14ac:dyDescent="0.3">
      <c r="B31" s="14">
        <v>44287</v>
      </c>
      <c r="C31" s="6">
        <v>1324</v>
      </c>
    </row>
    <row r="32" spans="2:3" x14ac:dyDescent="0.3">
      <c r="B32" s="14">
        <v>44317</v>
      </c>
      <c r="C32" s="6">
        <v>1118</v>
      </c>
    </row>
    <row r="33" spans="2:3" x14ac:dyDescent="0.3">
      <c r="B33" s="14">
        <v>44348</v>
      </c>
      <c r="C33" s="6">
        <v>1136</v>
      </c>
    </row>
    <row r="34" spans="2:3" x14ac:dyDescent="0.3">
      <c r="B34" s="14">
        <v>44378</v>
      </c>
      <c r="C34" s="6">
        <v>1057</v>
      </c>
    </row>
    <row r="35" spans="2:3" x14ac:dyDescent="0.3">
      <c r="B35" s="14">
        <v>44409</v>
      </c>
      <c r="C35" s="6">
        <v>1049</v>
      </c>
    </row>
    <row r="36" spans="2:3" x14ac:dyDescent="0.3">
      <c r="B36" s="14">
        <v>44440</v>
      </c>
      <c r="C36" s="6">
        <v>1025</v>
      </c>
    </row>
    <row r="37" spans="2:3" x14ac:dyDescent="0.3">
      <c r="B37" s="14">
        <v>44470</v>
      </c>
      <c r="C37" s="6">
        <v>1108</v>
      </c>
    </row>
    <row r="38" spans="2:3" x14ac:dyDescent="0.3">
      <c r="B38" s="14">
        <v>44501</v>
      </c>
      <c r="C38" s="6">
        <v>1272</v>
      </c>
    </row>
    <row r="39" spans="2:3" x14ac:dyDescent="0.3">
      <c r="B39" s="14">
        <v>44531</v>
      </c>
      <c r="C39" s="6">
        <v>1430</v>
      </c>
    </row>
    <row r="40" spans="2:3" x14ac:dyDescent="0.3">
      <c r="B40" s="14">
        <v>44562</v>
      </c>
      <c r="C40" s="6">
        <v>1325</v>
      </c>
    </row>
    <row r="41" spans="2:3" x14ac:dyDescent="0.3">
      <c r="B41" s="14">
        <v>44593</v>
      </c>
      <c r="C41" s="6">
        <v>1019</v>
      </c>
    </row>
    <row r="42" spans="2:3" x14ac:dyDescent="0.3">
      <c r="B42" s="14">
        <v>44621</v>
      </c>
      <c r="C42" s="6">
        <v>1041</v>
      </c>
    </row>
    <row r="43" spans="2:3" x14ac:dyDescent="0.3">
      <c r="B43" s="14">
        <v>44652</v>
      </c>
      <c r="C43" s="6">
        <v>1336</v>
      </c>
    </row>
    <row r="44" spans="2:3" x14ac:dyDescent="0.3">
      <c r="B44" s="14">
        <v>44682</v>
      </c>
      <c r="C44" s="6">
        <v>1283</v>
      </c>
    </row>
    <row r="45" spans="2:3" x14ac:dyDescent="0.3">
      <c r="B45" s="14">
        <v>44713</v>
      </c>
      <c r="C45" s="6">
        <v>1462</v>
      </c>
    </row>
    <row r="46" spans="2:3" x14ac:dyDescent="0.3">
      <c r="B46" s="14">
        <v>44743</v>
      </c>
      <c r="C46" s="6">
        <v>1436</v>
      </c>
    </row>
    <row r="47" spans="2:3" x14ac:dyDescent="0.3">
      <c r="B47" s="14">
        <v>44774</v>
      </c>
      <c r="C47" s="6">
        <v>1435</v>
      </c>
    </row>
    <row r="48" spans="2:3" x14ac:dyDescent="0.3">
      <c r="B48" s="14">
        <v>44805</v>
      </c>
      <c r="C48" s="6">
        <v>1051</v>
      </c>
    </row>
    <row r="49" spans="2:3" x14ac:dyDescent="0.3">
      <c r="B49" s="14">
        <v>44835</v>
      </c>
      <c r="C49" s="6">
        <v>1150</v>
      </c>
    </row>
    <row r="50" spans="2:3" x14ac:dyDescent="0.3">
      <c r="B50" s="14">
        <v>44866</v>
      </c>
      <c r="C50" s="6">
        <v>1304</v>
      </c>
    </row>
    <row r="51" spans="2:3" x14ac:dyDescent="0.3">
      <c r="B51" s="14">
        <v>44896</v>
      </c>
      <c r="C51" s="6">
        <v>1307</v>
      </c>
    </row>
    <row r="52" spans="2:3" x14ac:dyDescent="0.3">
      <c r="B52" s="14">
        <v>44927</v>
      </c>
      <c r="C52" s="6">
        <v>1072</v>
      </c>
    </row>
    <row r="53" spans="2:3" x14ac:dyDescent="0.3">
      <c r="B53" s="14">
        <v>44958</v>
      </c>
      <c r="C53" s="6">
        <v>1163</v>
      </c>
    </row>
    <row r="54" spans="2:3" x14ac:dyDescent="0.3">
      <c r="B54" s="14">
        <v>44986</v>
      </c>
      <c r="C54" s="6">
        <v>1269</v>
      </c>
    </row>
    <row r="55" spans="2:3" x14ac:dyDescent="0.3">
      <c r="B55" s="14">
        <v>45017</v>
      </c>
      <c r="C55" s="6">
        <v>1103</v>
      </c>
    </row>
    <row r="56" spans="2:3" x14ac:dyDescent="0.3">
      <c r="B56" s="14">
        <v>45047</v>
      </c>
      <c r="C56" s="6">
        <v>1154</v>
      </c>
    </row>
    <row r="57" spans="2:3" x14ac:dyDescent="0.3">
      <c r="B57" s="14">
        <v>45078</v>
      </c>
      <c r="C57" s="6">
        <v>1421</v>
      </c>
    </row>
    <row r="58" spans="2:3" x14ac:dyDescent="0.3">
      <c r="B58" s="14">
        <v>45108</v>
      </c>
      <c r="C58" s="6">
        <v>1008</v>
      </c>
    </row>
    <row r="59" spans="2:3" x14ac:dyDescent="0.3">
      <c r="B59" s="14">
        <v>45139</v>
      </c>
      <c r="C59" s="6">
        <v>1176</v>
      </c>
    </row>
    <row r="60" spans="2:3" x14ac:dyDescent="0.3">
      <c r="B60" s="14">
        <v>45170</v>
      </c>
      <c r="C60" s="6">
        <v>1456</v>
      </c>
    </row>
    <row r="61" spans="2:3" x14ac:dyDescent="0.3">
      <c r="B61" s="14">
        <v>45200</v>
      </c>
      <c r="C61" s="6">
        <v>1171</v>
      </c>
    </row>
    <row r="62" spans="2:3" x14ac:dyDescent="0.3">
      <c r="B62" s="14">
        <v>45231</v>
      </c>
      <c r="C62" s="6">
        <v>1311</v>
      </c>
    </row>
    <row r="63" spans="2:3" x14ac:dyDescent="0.3">
      <c r="B63" s="14">
        <v>45261</v>
      </c>
      <c r="C63" s="6">
        <v>1242</v>
      </c>
    </row>
    <row r="64" spans="2:3" x14ac:dyDescent="0.3">
      <c r="B64" s="14"/>
      <c r="C64" s="6"/>
    </row>
    <row r="65" spans="2:3" x14ac:dyDescent="0.3">
      <c r="B65" s="14"/>
      <c r="C65" s="6"/>
    </row>
    <row r="66" spans="2:3" x14ac:dyDescent="0.3">
      <c r="B66" s="14"/>
      <c r="C66" s="6"/>
    </row>
    <row r="67" spans="2:3" x14ac:dyDescent="0.3">
      <c r="B67" s="14"/>
      <c r="C67" s="6"/>
    </row>
    <row r="68" spans="2:3" x14ac:dyDescent="0.3">
      <c r="B68" s="14"/>
      <c r="C68" s="6"/>
    </row>
    <row r="69" spans="2:3" x14ac:dyDescent="0.3">
      <c r="B69" s="14"/>
      <c r="C69" s="6"/>
    </row>
    <row r="70" spans="2:3" x14ac:dyDescent="0.3">
      <c r="B70" s="14"/>
      <c r="C70" s="6"/>
    </row>
    <row r="71" spans="2:3" x14ac:dyDescent="0.3">
      <c r="B71" s="14"/>
      <c r="C71" s="6"/>
    </row>
    <row r="72" spans="2:3" x14ac:dyDescent="0.3">
      <c r="B72" s="14"/>
      <c r="C72" s="6"/>
    </row>
    <row r="73" spans="2:3" x14ac:dyDescent="0.3">
      <c r="B73" s="14"/>
      <c r="C73" s="6"/>
    </row>
    <row r="74" spans="2:3" x14ac:dyDescent="0.3">
      <c r="B74" s="14"/>
      <c r="C74" s="6"/>
    </row>
    <row r="75" spans="2:3" x14ac:dyDescent="0.3">
      <c r="B75" s="14"/>
      <c r="C75" s="6"/>
    </row>
    <row r="76" spans="2:3" x14ac:dyDescent="0.3">
      <c r="B76" s="14"/>
      <c r="C76" s="6"/>
    </row>
    <row r="77" spans="2:3" x14ac:dyDescent="0.3">
      <c r="B77" s="14"/>
      <c r="C77" s="6"/>
    </row>
    <row r="78" spans="2:3" x14ac:dyDescent="0.3">
      <c r="B78" s="14"/>
      <c r="C78" s="6"/>
    </row>
    <row r="79" spans="2:3" x14ac:dyDescent="0.3">
      <c r="B79" s="14"/>
      <c r="C79" s="6"/>
    </row>
    <row r="80" spans="2:3" x14ac:dyDescent="0.3">
      <c r="B80" s="14"/>
      <c r="C80" s="6"/>
    </row>
    <row r="81" spans="2:3" x14ac:dyDescent="0.3">
      <c r="B81" s="14"/>
      <c r="C81" s="6"/>
    </row>
    <row r="82" spans="2:3" x14ac:dyDescent="0.3">
      <c r="B82" s="14"/>
      <c r="C82" s="6"/>
    </row>
    <row r="83" spans="2:3" x14ac:dyDescent="0.3">
      <c r="B83" s="14"/>
      <c r="C83" s="6"/>
    </row>
    <row r="84" spans="2:3" x14ac:dyDescent="0.3">
      <c r="B84" s="14"/>
      <c r="C84" s="6"/>
    </row>
    <row r="85" spans="2:3" x14ac:dyDescent="0.3">
      <c r="B85" s="14"/>
      <c r="C85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95E1D-A299-4351-AEDF-826E06A804A1}">
  <sheetPr>
    <tabColor theme="9" tint="-0.499984740745262"/>
  </sheetPr>
  <dimension ref="B2:E85"/>
  <sheetViews>
    <sheetView showGridLines="0" zoomScale="85" zoomScaleNormal="85" workbookViewId="0">
      <selection activeCell="K38" sqref="K38"/>
    </sheetView>
  </sheetViews>
  <sheetFormatPr defaultRowHeight="14.4" x14ac:dyDescent="0.3"/>
  <cols>
    <col min="2" max="3" width="18" customWidth="1"/>
    <col min="4" max="4" width="4.5546875" customWidth="1"/>
    <col min="5" max="5" width="18" customWidth="1"/>
  </cols>
  <sheetData>
    <row r="2" spans="2:5" x14ac:dyDescent="0.3">
      <c r="B2" s="3" t="s">
        <v>18</v>
      </c>
      <c r="C2" s="3"/>
      <c r="E2" s="4" t="s">
        <v>19</v>
      </c>
    </row>
    <row r="3" spans="2:5" x14ac:dyDescent="0.3">
      <c r="B3" s="2" t="s">
        <v>29</v>
      </c>
      <c r="C3" s="2" t="s">
        <v>44</v>
      </c>
    </row>
    <row r="4" spans="2:5" x14ac:dyDescent="0.3">
      <c r="B4" s="14">
        <v>43466</v>
      </c>
      <c r="C4" s="6">
        <v>1483</v>
      </c>
      <c r="E4" s="6" t="e" cm="1" vm="27">
        <f t="array" ref="E4">_xlfn._xlws.PY(24,1,B3:C63)</f>
        <v>#VALUE!</v>
      </c>
    </row>
    <row r="5" spans="2:5" x14ac:dyDescent="0.3">
      <c r="B5" s="14">
        <v>43497</v>
      </c>
      <c r="C5" s="6">
        <v>1382</v>
      </c>
      <c r="E5" s="6"/>
    </row>
    <row r="6" spans="2:5" x14ac:dyDescent="0.3">
      <c r="B6" s="14">
        <v>43525</v>
      </c>
      <c r="C6" s="6">
        <v>1367</v>
      </c>
      <c r="E6" s="6" t="e" cm="1" vm="29">
        <f t="array" ref="E6">_xlfn._xlws.PY(26,1)</f>
        <v>#VALUE!</v>
      </c>
    </row>
    <row r="7" spans="2:5" x14ac:dyDescent="0.3">
      <c r="B7" s="14">
        <v>43556</v>
      </c>
      <c r="C7" s="6">
        <v>1206</v>
      </c>
    </row>
    <row r="8" spans="2:5" x14ac:dyDescent="0.3">
      <c r="B8" s="14">
        <v>43586</v>
      </c>
      <c r="C8" s="6">
        <v>1290</v>
      </c>
      <c r="E8" s="6" t="e" cm="1" vm="30">
        <f t="array" ref="E8">_xlfn._xlws.PY(25,1)</f>
        <v>#VALUE!</v>
      </c>
    </row>
    <row r="9" spans="2:5" x14ac:dyDescent="0.3">
      <c r="B9" s="14">
        <v>43617</v>
      </c>
      <c r="C9" s="6">
        <v>1323</v>
      </c>
    </row>
    <row r="10" spans="2:5" x14ac:dyDescent="0.3">
      <c r="B10" s="14">
        <v>43647</v>
      </c>
      <c r="C10" s="6">
        <v>1498</v>
      </c>
    </row>
    <row r="11" spans="2:5" x14ac:dyDescent="0.3">
      <c r="B11" s="14">
        <v>43678</v>
      </c>
      <c r="C11" s="6">
        <v>1485</v>
      </c>
    </row>
    <row r="12" spans="2:5" x14ac:dyDescent="0.3">
      <c r="B12" s="14">
        <v>43709</v>
      </c>
      <c r="C12" s="6">
        <v>1212</v>
      </c>
    </row>
    <row r="13" spans="2:5" x14ac:dyDescent="0.3">
      <c r="B13" s="14">
        <v>43739</v>
      </c>
      <c r="C13" s="6">
        <v>1095</v>
      </c>
    </row>
    <row r="14" spans="2:5" x14ac:dyDescent="0.3">
      <c r="B14" s="14">
        <v>43770</v>
      </c>
      <c r="C14" s="6">
        <v>1021</v>
      </c>
    </row>
    <row r="15" spans="2:5" x14ac:dyDescent="0.3">
      <c r="B15" s="14">
        <v>43800</v>
      </c>
      <c r="C15" s="6">
        <v>1117</v>
      </c>
    </row>
    <row r="16" spans="2:5" x14ac:dyDescent="0.3">
      <c r="B16" s="14">
        <v>43831</v>
      </c>
      <c r="C16" s="6">
        <v>1104</v>
      </c>
    </row>
    <row r="17" spans="2:3" x14ac:dyDescent="0.3">
      <c r="B17" s="14">
        <v>43862</v>
      </c>
      <c r="C17" s="6">
        <v>1009</v>
      </c>
    </row>
    <row r="18" spans="2:3" x14ac:dyDescent="0.3">
      <c r="B18" s="14">
        <v>43891</v>
      </c>
      <c r="C18" s="6">
        <v>1383</v>
      </c>
    </row>
    <row r="19" spans="2:3" x14ac:dyDescent="0.3">
      <c r="B19" s="14">
        <v>43922</v>
      </c>
      <c r="C19" s="6">
        <v>1152</v>
      </c>
    </row>
    <row r="20" spans="2:3" x14ac:dyDescent="0.3">
      <c r="B20" s="14">
        <v>43952</v>
      </c>
      <c r="C20" s="6">
        <v>1064</v>
      </c>
    </row>
    <row r="21" spans="2:3" x14ac:dyDescent="0.3">
      <c r="B21" s="14">
        <v>43983</v>
      </c>
      <c r="C21" s="6">
        <v>1277</v>
      </c>
    </row>
    <row r="22" spans="2:3" x14ac:dyDescent="0.3">
      <c r="B22" s="14">
        <v>44013</v>
      </c>
      <c r="C22" s="6">
        <v>1325</v>
      </c>
    </row>
    <row r="23" spans="2:3" x14ac:dyDescent="0.3">
      <c r="B23" s="14">
        <v>44044</v>
      </c>
      <c r="C23" s="6">
        <v>1220</v>
      </c>
    </row>
    <row r="24" spans="2:3" x14ac:dyDescent="0.3">
      <c r="B24" s="14">
        <v>44075</v>
      </c>
      <c r="C24" s="6">
        <v>1168</v>
      </c>
    </row>
    <row r="25" spans="2:3" x14ac:dyDescent="0.3">
      <c r="B25" s="14">
        <v>44105</v>
      </c>
      <c r="C25" s="6">
        <v>1233</v>
      </c>
    </row>
    <row r="26" spans="2:3" x14ac:dyDescent="0.3">
      <c r="B26" s="14">
        <v>44136</v>
      </c>
      <c r="C26" s="6">
        <v>1179</v>
      </c>
    </row>
    <row r="27" spans="2:3" x14ac:dyDescent="0.3">
      <c r="B27" s="14">
        <v>44166</v>
      </c>
      <c r="C27" s="6">
        <v>1067</v>
      </c>
    </row>
    <row r="28" spans="2:3" x14ac:dyDescent="0.3">
      <c r="B28" s="14">
        <v>44197</v>
      </c>
      <c r="C28" s="6">
        <v>1270</v>
      </c>
    </row>
    <row r="29" spans="2:3" x14ac:dyDescent="0.3">
      <c r="B29" s="14">
        <v>44228</v>
      </c>
      <c r="C29" s="6">
        <v>1463</v>
      </c>
    </row>
    <row r="30" spans="2:3" x14ac:dyDescent="0.3">
      <c r="B30" s="14">
        <v>44256</v>
      </c>
      <c r="C30" s="6">
        <v>1425</v>
      </c>
    </row>
    <row r="31" spans="2:3" x14ac:dyDescent="0.3">
      <c r="B31" s="14">
        <v>44287</v>
      </c>
      <c r="C31" s="6">
        <v>1324</v>
      </c>
    </row>
    <row r="32" spans="2:3" x14ac:dyDescent="0.3">
      <c r="B32" s="14">
        <v>44317</v>
      </c>
      <c r="C32" s="6">
        <v>1118</v>
      </c>
    </row>
    <row r="33" spans="2:3" x14ac:dyDescent="0.3">
      <c r="B33" s="14">
        <v>44348</v>
      </c>
      <c r="C33" s="6">
        <v>1136</v>
      </c>
    </row>
    <row r="34" spans="2:3" x14ac:dyDescent="0.3">
      <c r="B34" s="14">
        <v>44378</v>
      </c>
      <c r="C34" s="6">
        <v>1057</v>
      </c>
    </row>
    <row r="35" spans="2:3" x14ac:dyDescent="0.3">
      <c r="B35" s="14">
        <v>44409</v>
      </c>
      <c r="C35" s="6">
        <v>1049</v>
      </c>
    </row>
    <row r="36" spans="2:3" x14ac:dyDescent="0.3">
      <c r="B36" s="14">
        <v>44440</v>
      </c>
      <c r="C36" s="6">
        <v>1025</v>
      </c>
    </row>
    <row r="37" spans="2:3" x14ac:dyDescent="0.3">
      <c r="B37" s="14">
        <v>44470</v>
      </c>
      <c r="C37" s="6">
        <v>1108</v>
      </c>
    </row>
    <row r="38" spans="2:3" x14ac:dyDescent="0.3">
      <c r="B38" s="14">
        <v>44501</v>
      </c>
      <c r="C38" s="6">
        <v>1272</v>
      </c>
    </row>
    <row r="39" spans="2:3" x14ac:dyDescent="0.3">
      <c r="B39" s="14">
        <v>44531</v>
      </c>
      <c r="C39" s="6">
        <v>1430</v>
      </c>
    </row>
    <row r="40" spans="2:3" x14ac:dyDescent="0.3">
      <c r="B40" s="14">
        <v>44562</v>
      </c>
      <c r="C40" s="6">
        <v>1325</v>
      </c>
    </row>
    <row r="41" spans="2:3" x14ac:dyDescent="0.3">
      <c r="B41" s="14">
        <v>44593</v>
      </c>
      <c r="C41" s="6">
        <v>1019</v>
      </c>
    </row>
    <row r="42" spans="2:3" x14ac:dyDescent="0.3">
      <c r="B42" s="14">
        <v>44621</v>
      </c>
      <c r="C42" s="6">
        <v>1041</v>
      </c>
    </row>
    <row r="43" spans="2:3" x14ac:dyDescent="0.3">
      <c r="B43" s="14">
        <v>44652</v>
      </c>
      <c r="C43" s="6">
        <v>1336</v>
      </c>
    </row>
    <row r="44" spans="2:3" x14ac:dyDescent="0.3">
      <c r="B44" s="14">
        <v>44682</v>
      </c>
      <c r="C44" s="6">
        <v>1283</v>
      </c>
    </row>
    <row r="45" spans="2:3" x14ac:dyDescent="0.3">
      <c r="B45" s="14">
        <v>44713</v>
      </c>
      <c r="C45" s="6">
        <v>1462</v>
      </c>
    </row>
    <row r="46" spans="2:3" x14ac:dyDescent="0.3">
      <c r="B46" s="14">
        <v>44743</v>
      </c>
      <c r="C46" s="6">
        <v>1436</v>
      </c>
    </row>
    <row r="47" spans="2:3" x14ac:dyDescent="0.3">
      <c r="B47" s="14">
        <v>44774</v>
      </c>
      <c r="C47" s="6">
        <v>1435</v>
      </c>
    </row>
    <row r="48" spans="2:3" x14ac:dyDescent="0.3">
      <c r="B48" s="14">
        <v>44805</v>
      </c>
      <c r="C48" s="6">
        <v>1051</v>
      </c>
    </row>
    <row r="49" spans="2:3" x14ac:dyDescent="0.3">
      <c r="B49" s="14">
        <v>44835</v>
      </c>
      <c r="C49" s="6">
        <v>1150</v>
      </c>
    </row>
    <row r="50" spans="2:3" x14ac:dyDescent="0.3">
      <c r="B50" s="14">
        <v>44866</v>
      </c>
      <c r="C50" s="6">
        <v>1304</v>
      </c>
    </row>
    <row r="51" spans="2:3" x14ac:dyDescent="0.3">
      <c r="B51" s="14">
        <v>44896</v>
      </c>
      <c r="C51" s="6">
        <v>1307</v>
      </c>
    </row>
    <row r="52" spans="2:3" x14ac:dyDescent="0.3">
      <c r="B52" s="14">
        <v>44927</v>
      </c>
      <c r="C52" s="6">
        <v>1072</v>
      </c>
    </row>
    <row r="53" spans="2:3" x14ac:dyDescent="0.3">
      <c r="B53" s="14">
        <v>44958</v>
      </c>
      <c r="C53" s="6">
        <v>1163</v>
      </c>
    </row>
    <row r="54" spans="2:3" x14ac:dyDescent="0.3">
      <c r="B54" s="14">
        <v>44986</v>
      </c>
      <c r="C54" s="6">
        <v>1269</v>
      </c>
    </row>
    <row r="55" spans="2:3" x14ac:dyDescent="0.3">
      <c r="B55" s="14">
        <v>45017</v>
      </c>
      <c r="C55" s="6">
        <v>1103</v>
      </c>
    </row>
    <row r="56" spans="2:3" x14ac:dyDescent="0.3">
      <c r="B56" s="14">
        <v>45047</v>
      </c>
      <c r="C56" s="6">
        <v>1154</v>
      </c>
    </row>
    <row r="57" spans="2:3" x14ac:dyDescent="0.3">
      <c r="B57" s="14">
        <v>45078</v>
      </c>
      <c r="C57" s="6">
        <v>1421</v>
      </c>
    </row>
    <row r="58" spans="2:3" x14ac:dyDescent="0.3">
      <c r="B58" s="14">
        <v>45108</v>
      </c>
      <c r="C58" s="6">
        <v>1008</v>
      </c>
    </row>
    <row r="59" spans="2:3" x14ac:dyDescent="0.3">
      <c r="B59" s="14">
        <v>45139</v>
      </c>
      <c r="C59" s="6">
        <v>1176</v>
      </c>
    </row>
    <row r="60" spans="2:3" x14ac:dyDescent="0.3">
      <c r="B60" s="14">
        <v>45170</v>
      </c>
      <c r="C60" s="6">
        <v>1456</v>
      </c>
    </row>
    <row r="61" spans="2:3" x14ac:dyDescent="0.3">
      <c r="B61" s="14">
        <v>45200</v>
      </c>
      <c r="C61" s="6">
        <v>1171</v>
      </c>
    </row>
    <row r="62" spans="2:3" x14ac:dyDescent="0.3">
      <c r="B62" s="14">
        <v>45231</v>
      </c>
      <c r="C62" s="6">
        <v>1311</v>
      </c>
    </row>
    <row r="63" spans="2:3" x14ac:dyDescent="0.3">
      <c r="B63" s="14">
        <v>45261</v>
      </c>
      <c r="C63" s="6">
        <v>1242</v>
      </c>
    </row>
    <row r="64" spans="2:3" x14ac:dyDescent="0.3">
      <c r="B64" s="14"/>
      <c r="C64" s="6"/>
    </row>
    <row r="65" spans="2:3" x14ac:dyDescent="0.3">
      <c r="B65" s="14"/>
      <c r="C65" s="6"/>
    </row>
    <row r="66" spans="2:3" x14ac:dyDescent="0.3">
      <c r="B66" s="14"/>
      <c r="C66" s="6"/>
    </row>
    <row r="67" spans="2:3" x14ac:dyDescent="0.3">
      <c r="B67" s="14"/>
      <c r="C67" s="6"/>
    </row>
    <row r="68" spans="2:3" x14ac:dyDescent="0.3">
      <c r="B68" s="14"/>
      <c r="C68" s="6"/>
    </row>
    <row r="69" spans="2:3" x14ac:dyDescent="0.3">
      <c r="B69" s="14"/>
      <c r="C69" s="6"/>
    </row>
    <row r="70" spans="2:3" x14ac:dyDescent="0.3">
      <c r="B70" s="14"/>
      <c r="C70" s="6"/>
    </row>
    <row r="71" spans="2:3" x14ac:dyDescent="0.3">
      <c r="B71" s="14"/>
      <c r="C71" s="6"/>
    </row>
    <row r="72" spans="2:3" x14ac:dyDescent="0.3">
      <c r="B72" s="14"/>
      <c r="C72" s="6"/>
    </row>
    <row r="73" spans="2:3" x14ac:dyDescent="0.3">
      <c r="B73" s="14"/>
      <c r="C73" s="6"/>
    </row>
    <row r="74" spans="2:3" x14ac:dyDescent="0.3">
      <c r="B74" s="14"/>
      <c r="C74" s="6"/>
    </row>
    <row r="75" spans="2:3" x14ac:dyDescent="0.3">
      <c r="B75" s="14"/>
      <c r="C75" s="6"/>
    </row>
    <row r="76" spans="2:3" x14ac:dyDescent="0.3">
      <c r="B76" s="14"/>
      <c r="C76" s="6"/>
    </row>
    <row r="77" spans="2:3" x14ac:dyDescent="0.3">
      <c r="B77" s="14"/>
      <c r="C77" s="6"/>
    </row>
    <row r="78" spans="2:3" x14ac:dyDescent="0.3">
      <c r="B78" s="14"/>
      <c r="C78" s="6"/>
    </row>
    <row r="79" spans="2:3" x14ac:dyDescent="0.3">
      <c r="B79" s="14"/>
      <c r="C79" s="6"/>
    </row>
    <row r="80" spans="2:3" x14ac:dyDescent="0.3">
      <c r="B80" s="14"/>
      <c r="C80" s="6"/>
    </row>
    <row r="81" spans="2:3" x14ac:dyDescent="0.3">
      <c r="B81" s="14"/>
      <c r="C81" s="6"/>
    </row>
    <row r="82" spans="2:3" x14ac:dyDescent="0.3">
      <c r="B82" s="14"/>
      <c r="C82" s="6"/>
    </row>
    <row r="83" spans="2:3" x14ac:dyDescent="0.3">
      <c r="B83" s="14"/>
      <c r="C83" s="6"/>
    </row>
    <row r="84" spans="2:3" x14ac:dyDescent="0.3">
      <c r="B84" s="14"/>
      <c r="C84" s="6"/>
    </row>
    <row r="85" spans="2:3" x14ac:dyDescent="0.3">
      <c r="B85" s="14"/>
      <c r="C85" s="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E0AB-5670-440C-9DC3-6528F5BC849B}">
  <sheetPr>
    <tabColor theme="9" tint="-0.499984740745262"/>
  </sheetPr>
  <dimension ref="B2:G113"/>
  <sheetViews>
    <sheetView showGridLines="0" zoomScale="85" zoomScaleNormal="85" workbookViewId="0">
      <selection activeCell="K20" sqref="K20"/>
    </sheetView>
  </sheetViews>
  <sheetFormatPr defaultRowHeight="14.4" x14ac:dyDescent="0.3"/>
  <cols>
    <col min="2" max="7" width="20.77734375" customWidth="1"/>
  </cols>
  <sheetData>
    <row r="2" spans="2:7" x14ac:dyDescent="0.3">
      <c r="B2" s="3" t="s">
        <v>18</v>
      </c>
      <c r="C2" s="3"/>
      <c r="D2" s="3"/>
      <c r="E2" s="3"/>
      <c r="F2" s="3"/>
      <c r="G2" s="3"/>
    </row>
    <row r="3" spans="2:7" x14ac:dyDescent="0.3">
      <c r="B3" s="2" t="s">
        <v>20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</row>
    <row r="4" spans="2:7" x14ac:dyDescent="0.3">
      <c r="B4" s="8">
        <v>43831</v>
      </c>
      <c r="C4">
        <v>137.45401200000001</v>
      </c>
      <c r="D4">
        <v>144.78974299999999</v>
      </c>
      <c r="E4">
        <v>133.494113</v>
      </c>
      <c r="F4">
        <v>139.230572</v>
      </c>
      <c r="G4" s="12">
        <v>1067</v>
      </c>
    </row>
    <row r="5" spans="2:7" x14ac:dyDescent="0.3">
      <c r="B5" s="8">
        <v>43832</v>
      </c>
      <c r="C5">
        <v>195.07143099999999</v>
      </c>
      <c r="D5">
        <v>200.245698</v>
      </c>
      <c r="E5">
        <v>192.73894000000001</v>
      </c>
      <c r="F5">
        <v>199.241421</v>
      </c>
      <c r="G5" s="12">
        <v>1017</v>
      </c>
    </row>
    <row r="6" spans="2:7" x14ac:dyDescent="0.3">
      <c r="B6" s="8">
        <v>43833</v>
      </c>
      <c r="C6">
        <v>173.19939400000001</v>
      </c>
      <c r="D6">
        <v>177.13923299999999</v>
      </c>
      <c r="E6">
        <v>171.850898</v>
      </c>
      <c r="F6">
        <v>175.086894</v>
      </c>
      <c r="G6" s="12">
        <v>1026</v>
      </c>
    </row>
    <row r="7" spans="2:7" x14ac:dyDescent="0.3">
      <c r="B7" s="8">
        <v>43834</v>
      </c>
      <c r="C7">
        <v>159.865848</v>
      </c>
      <c r="D7">
        <v>169.04731699999999</v>
      </c>
      <c r="E7">
        <v>151.674825</v>
      </c>
      <c r="F7">
        <v>161.431422</v>
      </c>
      <c r="G7" s="12">
        <v>1094</v>
      </c>
    </row>
    <row r="8" spans="2:7" x14ac:dyDescent="0.3">
      <c r="B8" s="8">
        <v>43835</v>
      </c>
      <c r="C8">
        <v>115.60186400000001</v>
      </c>
      <c r="D8">
        <v>123.83734200000001</v>
      </c>
      <c r="E8">
        <v>109.16530899999999</v>
      </c>
      <c r="F8">
        <v>112.993055</v>
      </c>
      <c r="G8" s="12">
        <v>1082</v>
      </c>
    </row>
    <row r="9" spans="2:7" x14ac:dyDescent="0.3">
      <c r="B9" s="8">
        <v>43836</v>
      </c>
      <c r="C9">
        <v>173.19939400000001</v>
      </c>
      <c r="D9">
        <v>177.13923299999999</v>
      </c>
      <c r="E9">
        <v>171.850898</v>
      </c>
      <c r="F9">
        <v>175.086894</v>
      </c>
      <c r="G9" s="12">
        <v>1167</v>
      </c>
    </row>
    <row r="10" spans="2:7" x14ac:dyDescent="0.3">
      <c r="B10" s="8">
        <v>43837</v>
      </c>
      <c r="C10">
        <v>159.865848</v>
      </c>
      <c r="D10">
        <v>169.04731699999999</v>
      </c>
      <c r="E10">
        <v>151.674825</v>
      </c>
      <c r="F10">
        <v>161.431422</v>
      </c>
      <c r="G10" s="12">
        <v>1076</v>
      </c>
    </row>
    <row r="11" spans="2:7" x14ac:dyDescent="0.3">
      <c r="B11" s="8">
        <v>43838</v>
      </c>
      <c r="C11">
        <v>115.60186400000001</v>
      </c>
      <c r="D11">
        <v>123.83734200000001</v>
      </c>
      <c r="E11">
        <v>109.16530899999999</v>
      </c>
      <c r="F11">
        <v>112.993055</v>
      </c>
      <c r="G11" s="12">
        <v>1154</v>
      </c>
    </row>
    <row r="12" spans="2:7" x14ac:dyDescent="0.3">
      <c r="B12" s="8">
        <v>43839</v>
      </c>
      <c r="C12">
        <v>133.736549642857</v>
      </c>
      <c r="D12">
        <v>141.999580607143</v>
      </c>
      <c r="E12">
        <v>126.55197610714301</v>
      </c>
      <c r="F12">
        <v>132.12518217857101</v>
      </c>
      <c r="G12" s="12">
        <v>1154</v>
      </c>
    </row>
    <row r="13" spans="2:7" x14ac:dyDescent="0.3">
      <c r="B13" s="8">
        <v>43840</v>
      </c>
      <c r="C13">
        <v>129.29301470238099</v>
      </c>
      <c r="D13">
        <v>137.85828671428601</v>
      </c>
      <c r="E13">
        <v>121.574217547619</v>
      </c>
      <c r="F13">
        <v>127.11148002380899</v>
      </c>
      <c r="G13" s="12">
        <v>1196</v>
      </c>
    </row>
    <row r="14" spans="2:7" x14ac:dyDescent="0.3">
      <c r="B14" s="8">
        <v>43841</v>
      </c>
      <c r="C14">
        <v>124.849479761905</v>
      </c>
      <c r="D14">
        <v>133.71699282142899</v>
      </c>
      <c r="E14">
        <v>116.59645898809499</v>
      </c>
      <c r="F14">
        <v>122.097777869048</v>
      </c>
      <c r="G14" s="12">
        <v>1036</v>
      </c>
    </row>
    <row r="15" spans="2:7" x14ac:dyDescent="0.3">
      <c r="B15" s="8">
        <v>43842</v>
      </c>
      <c r="C15">
        <v>120.405944821429</v>
      </c>
      <c r="D15">
        <v>129.575698928571</v>
      </c>
      <c r="E15">
        <v>111.618700428571</v>
      </c>
      <c r="F15">
        <v>117.084075714286</v>
      </c>
      <c r="G15" s="12">
        <v>1035</v>
      </c>
    </row>
    <row r="16" spans="2:7" x14ac:dyDescent="0.3">
      <c r="B16" s="8">
        <v>43843</v>
      </c>
      <c r="C16">
        <v>115.96240988095199</v>
      </c>
      <c r="D16">
        <v>125.43440503571399</v>
      </c>
      <c r="E16">
        <v>106.64094186904801</v>
      </c>
      <c r="F16">
        <v>112.070373559524</v>
      </c>
      <c r="G16" s="12">
        <v>1088</v>
      </c>
    </row>
    <row r="17" spans="2:7" x14ac:dyDescent="0.3">
      <c r="B17" s="8">
        <v>43844</v>
      </c>
      <c r="C17">
        <v>111.518874940476</v>
      </c>
      <c r="D17">
        <v>121.293111142857</v>
      </c>
      <c r="E17">
        <v>101.663183309524</v>
      </c>
      <c r="F17">
        <v>107.056671404762</v>
      </c>
      <c r="G17" s="12">
        <v>1041</v>
      </c>
    </row>
    <row r="18" spans="2:7" x14ac:dyDescent="0.3">
      <c r="B18" s="8">
        <v>43845</v>
      </c>
      <c r="C18">
        <v>107.07534</v>
      </c>
      <c r="D18">
        <v>117.15181724999999</v>
      </c>
      <c r="E18">
        <v>96.685424749999996</v>
      </c>
      <c r="F18">
        <v>102.04296925</v>
      </c>
      <c r="G18" s="12">
        <v>1127</v>
      </c>
    </row>
    <row r="19" spans="2:7" x14ac:dyDescent="0.3">
      <c r="B19" s="8">
        <v>43846</v>
      </c>
      <c r="C19">
        <v>102.631805059524</v>
      </c>
      <c r="D19">
        <v>113.010523357143</v>
      </c>
      <c r="E19">
        <v>91.707666190476203</v>
      </c>
      <c r="F19">
        <v>97.029267095237998</v>
      </c>
      <c r="G19" s="12">
        <v>1008</v>
      </c>
    </row>
    <row r="20" spans="2:7" x14ac:dyDescent="0.3">
      <c r="B20" s="8">
        <v>43847</v>
      </c>
      <c r="C20">
        <v>98.188270119047601</v>
      </c>
      <c r="D20">
        <v>108.86922946428599</v>
      </c>
      <c r="E20">
        <v>86.729907630952397</v>
      </c>
      <c r="F20">
        <v>92.015564940476196</v>
      </c>
      <c r="G20" s="12">
        <v>1111</v>
      </c>
    </row>
    <row r="21" spans="2:7" x14ac:dyDescent="0.3">
      <c r="B21" s="8">
        <v>43848</v>
      </c>
      <c r="C21">
        <v>93.744735178571403</v>
      </c>
      <c r="D21">
        <v>104.727935571429</v>
      </c>
      <c r="E21">
        <v>81.752149071428605</v>
      </c>
      <c r="F21">
        <v>87.001862785714295</v>
      </c>
      <c r="G21" s="12">
        <v>1103</v>
      </c>
    </row>
    <row r="22" spans="2:7" x14ac:dyDescent="0.3">
      <c r="B22" s="8">
        <v>43849</v>
      </c>
      <c r="C22">
        <v>89.301200238095305</v>
      </c>
      <c r="D22">
        <v>100.586641678571</v>
      </c>
      <c r="E22">
        <v>76.774390511904798</v>
      </c>
      <c r="F22">
        <v>81.988160630952393</v>
      </c>
      <c r="G22" s="12">
        <v>1026</v>
      </c>
    </row>
    <row r="23" spans="2:7" x14ac:dyDescent="0.3">
      <c r="B23" s="8">
        <v>43850</v>
      </c>
      <c r="C23">
        <v>84.857665297619107</v>
      </c>
      <c r="D23">
        <v>96.445347785714304</v>
      </c>
      <c r="E23">
        <v>71.796631952380906</v>
      </c>
      <c r="F23">
        <v>76.974458476190406</v>
      </c>
      <c r="G23" s="12">
        <v>1026</v>
      </c>
    </row>
    <row r="24" spans="2:7" x14ac:dyDescent="0.3">
      <c r="B24" s="8">
        <v>43851</v>
      </c>
      <c r="C24">
        <v>80.414130357142895</v>
      </c>
      <c r="D24">
        <v>92.304053892857198</v>
      </c>
      <c r="E24">
        <v>66.8188733928571</v>
      </c>
      <c r="F24">
        <v>71.960756321428605</v>
      </c>
      <c r="G24" s="12">
        <v>1144</v>
      </c>
    </row>
    <row r="25" spans="2:7" x14ac:dyDescent="0.3">
      <c r="B25" s="8">
        <v>43852</v>
      </c>
      <c r="C25">
        <v>75.970595416666697</v>
      </c>
      <c r="D25">
        <v>88.162760000000006</v>
      </c>
      <c r="E25">
        <v>61.8411148333334</v>
      </c>
      <c r="F25">
        <v>66.947054166666604</v>
      </c>
      <c r="G25" s="12">
        <v>1141</v>
      </c>
    </row>
    <row r="26" spans="2:7" x14ac:dyDescent="0.3">
      <c r="B26" s="8">
        <v>43853</v>
      </c>
      <c r="C26">
        <v>71.527060476190499</v>
      </c>
      <c r="D26">
        <v>84.021466107142899</v>
      </c>
      <c r="E26">
        <v>56.863356273809401</v>
      </c>
      <c r="F26">
        <v>61.933352011904603</v>
      </c>
      <c r="G26" s="12">
        <v>1064</v>
      </c>
    </row>
    <row r="27" spans="2:7" x14ac:dyDescent="0.3">
      <c r="B27" s="8">
        <v>43854</v>
      </c>
      <c r="C27">
        <v>67.083525535714699</v>
      </c>
      <c r="D27">
        <v>79.880172214285807</v>
      </c>
      <c r="E27">
        <v>51.885597714285403</v>
      </c>
      <c r="F27">
        <v>56.919649857142602</v>
      </c>
      <c r="G27" s="12">
        <v>1178</v>
      </c>
    </row>
    <row r="28" spans="2:7" x14ac:dyDescent="0.3">
      <c r="B28" s="8">
        <v>43855</v>
      </c>
      <c r="C28">
        <v>62.639990595237698</v>
      </c>
      <c r="D28">
        <v>75.738878321428601</v>
      </c>
      <c r="E28">
        <v>46.907839154761398</v>
      </c>
      <c r="F28">
        <v>51.905947702380601</v>
      </c>
      <c r="G28" s="12">
        <v>1032</v>
      </c>
    </row>
    <row r="29" spans="2:7" x14ac:dyDescent="0.3">
      <c r="B29" s="8">
        <v>43856</v>
      </c>
      <c r="C29">
        <v>58.196455654761699</v>
      </c>
      <c r="D29">
        <v>71.597584428570997</v>
      </c>
      <c r="E29">
        <v>41.930080595238401</v>
      </c>
      <c r="F29">
        <v>46.8922455476186</v>
      </c>
      <c r="G29" s="12">
        <v>1011</v>
      </c>
    </row>
    <row r="30" spans="2:7" x14ac:dyDescent="0.3">
      <c r="B30" s="8">
        <v>43857</v>
      </c>
      <c r="C30">
        <v>53.7529207142857</v>
      </c>
      <c r="D30">
        <v>67.456290535714004</v>
      </c>
      <c r="E30">
        <v>36.952322035714403</v>
      </c>
      <c r="F30">
        <v>41.878543392856599</v>
      </c>
      <c r="G30" s="12">
        <v>1040</v>
      </c>
    </row>
    <row r="31" spans="2:7" x14ac:dyDescent="0.3">
      <c r="B31" s="8">
        <v>43858</v>
      </c>
      <c r="C31">
        <v>49.309385773809701</v>
      </c>
      <c r="D31">
        <v>63.314996642856997</v>
      </c>
      <c r="E31">
        <v>31.974563476190401</v>
      </c>
      <c r="F31">
        <v>36.8648412380956</v>
      </c>
      <c r="G31" s="12">
        <v>1072</v>
      </c>
    </row>
    <row r="32" spans="2:7" x14ac:dyDescent="0.3">
      <c r="B32" s="8">
        <v>43859</v>
      </c>
      <c r="C32">
        <v>44.865850833333702</v>
      </c>
      <c r="D32">
        <v>59.173702749999997</v>
      </c>
      <c r="E32">
        <v>26.996804916666299</v>
      </c>
      <c r="F32">
        <v>31.851139083333599</v>
      </c>
      <c r="G32" s="12">
        <v>1075</v>
      </c>
    </row>
    <row r="33" spans="2:7" x14ac:dyDescent="0.3">
      <c r="B33" s="8">
        <v>43860</v>
      </c>
      <c r="C33">
        <v>40.422315892856702</v>
      </c>
      <c r="D33">
        <v>55.032408857142997</v>
      </c>
      <c r="E33">
        <v>22.0190463571424</v>
      </c>
      <c r="F33">
        <v>26.837436928571599</v>
      </c>
      <c r="G33" s="12">
        <v>1060</v>
      </c>
    </row>
    <row r="34" spans="2:7" x14ac:dyDescent="0.3">
      <c r="B34" s="8">
        <v>43861</v>
      </c>
      <c r="C34">
        <v>35.978780952380703</v>
      </c>
      <c r="D34">
        <v>50.891114964285997</v>
      </c>
      <c r="E34">
        <v>17.0412877976194</v>
      </c>
      <c r="F34">
        <v>21.823734773809601</v>
      </c>
      <c r="G34" s="12">
        <v>1190</v>
      </c>
    </row>
    <row r="35" spans="2:7" x14ac:dyDescent="0.3">
      <c r="B35" s="8"/>
      <c r="G35" s="12"/>
    </row>
    <row r="36" spans="2:7" x14ac:dyDescent="0.3">
      <c r="B36" s="8"/>
      <c r="G36" s="12"/>
    </row>
    <row r="37" spans="2:7" x14ac:dyDescent="0.3">
      <c r="B37" s="8"/>
      <c r="G37" s="12"/>
    </row>
    <row r="38" spans="2:7" x14ac:dyDescent="0.3">
      <c r="B38" s="8"/>
      <c r="G38" s="12"/>
    </row>
    <row r="39" spans="2:7" x14ac:dyDescent="0.3">
      <c r="B39" s="8"/>
      <c r="G39" s="12"/>
    </row>
    <row r="40" spans="2:7" x14ac:dyDescent="0.3">
      <c r="B40" s="8"/>
      <c r="G40" s="12"/>
    </row>
    <row r="41" spans="2:7" x14ac:dyDescent="0.3">
      <c r="B41" s="8"/>
      <c r="G41" s="12"/>
    </row>
    <row r="42" spans="2:7" x14ac:dyDescent="0.3">
      <c r="B42" s="8"/>
      <c r="G42" s="12"/>
    </row>
    <row r="43" spans="2:7" x14ac:dyDescent="0.3">
      <c r="B43" s="8"/>
      <c r="G43" s="12"/>
    </row>
    <row r="44" spans="2:7" x14ac:dyDescent="0.3">
      <c r="B44" s="8"/>
      <c r="G44" s="12"/>
    </row>
    <row r="45" spans="2:7" x14ac:dyDescent="0.3">
      <c r="B45" s="8"/>
      <c r="G45" s="12"/>
    </row>
    <row r="46" spans="2:7" x14ac:dyDescent="0.3">
      <c r="B46" s="8"/>
      <c r="G46" s="12"/>
    </row>
    <row r="47" spans="2:7" x14ac:dyDescent="0.3">
      <c r="B47" s="8"/>
      <c r="G47" s="12"/>
    </row>
    <row r="48" spans="2:7" x14ac:dyDescent="0.3">
      <c r="B48" s="8"/>
      <c r="G48" s="12"/>
    </row>
    <row r="49" spans="2:7" x14ac:dyDescent="0.3">
      <c r="B49" s="8"/>
      <c r="G49" s="12"/>
    </row>
    <row r="50" spans="2:7" x14ac:dyDescent="0.3">
      <c r="B50" s="8"/>
      <c r="G50" s="12"/>
    </row>
    <row r="51" spans="2:7" x14ac:dyDescent="0.3">
      <c r="B51" s="8"/>
      <c r="G51" s="12"/>
    </row>
    <row r="52" spans="2:7" x14ac:dyDescent="0.3">
      <c r="B52" s="8"/>
      <c r="G52" s="12"/>
    </row>
    <row r="53" spans="2:7" x14ac:dyDescent="0.3">
      <c r="B53" s="8"/>
      <c r="G53" s="12"/>
    </row>
    <row r="54" spans="2:7" x14ac:dyDescent="0.3">
      <c r="B54" s="8"/>
      <c r="G54" s="12"/>
    </row>
    <row r="55" spans="2:7" x14ac:dyDescent="0.3">
      <c r="B55" s="8"/>
      <c r="G55" s="12"/>
    </row>
    <row r="56" spans="2:7" x14ac:dyDescent="0.3">
      <c r="B56" s="8"/>
      <c r="G56" s="12"/>
    </row>
    <row r="57" spans="2:7" x14ac:dyDescent="0.3">
      <c r="B57" s="8"/>
      <c r="G57" s="12"/>
    </row>
    <row r="58" spans="2:7" x14ac:dyDescent="0.3">
      <c r="B58" s="8"/>
      <c r="G58" s="12"/>
    </row>
    <row r="59" spans="2:7" x14ac:dyDescent="0.3">
      <c r="B59" s="8"/>
      <c r="G59" s="12"/>
    </row>
    <row r="60" spans="2:7" x14ac:dyDescent="0.3">
      <c r="B60" s="8"/>
      <c r="G60" s="12"/>
    </row>
    <row r="61" spans="2:7" x14ac:dyDescent="0.3">
      <c r="B61" s="8"/>
      <c r="G61" s="12"/>
    </row>
    <row r="62" spans="2:7" x14ac:dyDescent="0.3">
      <c r="B62" s="8"/>
      <c r="G62" s="12"/>
    </row>
    <row r="63" spans="2:7" x14ac:dyDescent="0.3">
      <c r="B63" s="8"/>
      <c r="G63" s="12"/>
    </row>
    <row r="64" spans="2:7" x14ac:dyDescent="0.3">
      <c r="B64" s="8"/>
      <c r="G64" s="12"/>
    </row>
    <row r="65" spans="2:7" x14ac:dyDescent="0.3">
      <c r="B65" s="8"/>
      <c r="G65" s="12"/>
    </row>
    <row r="66" spans="2:7" x14ac:dyDescent="0.3">
      <c r="B66" s="8"/>
      <c r="G66" s="12"/>
    </row>
    <row r="67" spans="2:7" x14ac:dyDescent="0.3">
      <c r="B67" s="8"/>
      <c r="G67" s="12"/>
    </row>
    <row r="68" spans="2:7" x14ac:dyDescent="0.3">
      <c r="B68" s="8"/>
      <c r="G68" s="12"/>
    </row>
    <row r="69" spans="2:7" x14ac:dyDescent="0.3">
      <c r="B69" s="8"/>
      <c r="G69" s="12"/>
    </row>
    <row r="70" spans="2:7" x14ac:dyDescent="0.3">
      <c r="B70" s="8"/>
      <c r="G70" s="12"/>
    </row>
    <row r="71" spans="2:7" x14ac:dyDescent="0.3">
      <c r="B71" s="8"/>
      <c r="G71" s="12"/>
    </row>
    <row r="72" spans="2:7" x14ac:dyDescent="0.3">
      <c r="B72" s="8"/>
      <c r="G72" s="12"/>
    </row>
    <row r="73" spans="2:7" x14ac:dyDescent="0.3">
      <c r="B73" s="8"/>
      <c r="G73" s="12"/>
    </row>
    <row r="74" spans="2:7" x14ac:dyDescent="0.3">
      <c r="B74" s="8"/>
      <c r="G74" s="12"/>
    </row>
    <row r="75" spans="2:7" x14ac:dyDescent="0.3">
      <c r="B75" s="8"/>
      <c r="G75" s="12"/>
    </row>
    <row r="76" spans="2:7" x14ac:dyDescent="0.3">
      <c r="B76" s="8"/>
      <c r="G76" s="12"/>
    </row>
    <row r="77" spans="2:7" x14ac:dyDescent="0.3">
      <c r="B77" s="8"/>
      <c r="G77" s="12"/>
    </row>
    <row r="78" spans="2:7" x14ac:dyDescent="0.3">
      <c r="B78" s="8"/>
      <c r="G78" s="12"/>
    </row>
    <row r="79" spans="2:7" x14ac:dyDescent="0.3">
      <c r="B79" s="8"/>
      <c r="G79" s="12"/>
    </row>
    <row r="80" spans="2:7" x14ac:dyDescent="0.3">
      <c r="B80" s="8"/>
      <c r="G80" s="12"/>
    </row>
    <row r="81" spans="2:7" x14ac:dyDescent="0.3">
      <c r="B81" s="8"/>
      <c r="G81" s="12"/>
    </row>
    <row r="82" spans="2:7" x14ac:dyDescent="0.3">
      <c r="B82" s="8"/>
      <c r="G82" s="12"/>
    </row>
    <row r="83" spans="2:7" x14ac:dyDescent="0.3">
      <c r="B83" s="8"/>
      <c r="G83" s="12"/>
    </row>
    <row r="84" spans="2:7" x14ac:dyDescent="0.3">
      <c r="B84" s="8"/>
      <c r="G84" s="12"/>
    </row>
    <row r="85" spans="2:7" x14ac:dyDescent="0.3">
      <c r="B85" s="8"/>
      <c r="G85" s="12"/>
    </row>
    <row r="86" spans="2:7" x14ac:dyDescent="0.3">
      <c r="B86" s="8"/>
      <c r="G86" s="12"/>
    </row>
    <row r="87" spans="2:7" x14ac:dyDescent="0.3">
      <c r="B87" s="8"/>
      <c r="G87" s="12"/>
    </row>
    <row r="88" spans="2:7" x14ac:dyDescent="0.3">
      <c r="B88" s="8"/>
      <c r="G88" s="12"/>
    </row>
    <row r="89" spans="2:7" x14ac:dyDescent="0.3">
      <c r="B89" s="8"/>
      <c r="G89" s="12"/>
    </row>
    <row r="90" spans="2:7" x14ac:dyDescent="0.3">
      <c r="B90" s="8"/>
      <c r="G90" s="12"/>
    </row>
    <row r="91" spans="2:7" x14ac:dyDescent="0.3">
      <c r="B91" s="8"/>
      <c r="G91" s="12"/>
    </row>
    <row r="92" spans="2:7" x14ac:dyDescent="0.3">
      <c r="B92" s="8"/>
      <c r="G92" s="12"/>
    </row>
    <row r="93" spans="2:7" x14ac:dyDescent="0.3">
      <c r="B93" s="8"/>
      <c r="G93" s="12"/>
    </row>
    <row r="94" spans="2:7" x14ac:dyDescent="0.3">
      <c r="B94" s="8"/>
      <c r="G94" s="12"/>
    </row>
    <row r="95" spans="2:7" x14ac:dyDescent="0.3">
      <c r="B95" s="8"/>
    </row>
    <row r="96" spans="2:7" x14ac:dyDescent="0.3">
      <c r="B96" s="8"/>
    </row>
    <row r="97" spans="2:2" x14ac:dyDescent="0.3">
      <c r="B97" s="8"/>
    </row>
    <row r="98" spans="2:2" x14ac:dyDescent="0.3">
      <c r="B98" s="8"/>
    </row>
    <row r="99" spans="2:2" x14ac:dyDescent="0.3">
      <c r="B99" s="8"/>
    </row>
    <row r="100" spans="2:2" x14ac:dyDescent="0.3">
      <c r="B100" s="8"/>
    </row>
    <row r="101" spans="2:2" x14ac:dyDescent="0.3">
      <c r="B101" s="8"/>
    </row>
    <row r="102" spans="2:2" x14ac:dyDescent="0.3">
      <c r="B102" s="8"/>
    </row>
    <row r="103" spans="2:2" x14ac:dyDescent="0.3">
      <c r="B103" s="8"/>
    </row>
    <row r="104" spans="2:2" x14ac:dyDescent="0.3">
      <c r="B104" s="8"/>
    </row>
    <row r="105" spans="2:2" x14ac:dyDescent="0.3">
      <c r="B105" s="8"/>
    </row>
    <row r="106" spans="2:2" x14ac:dyDescent="0.3">
      <c r="B106" s="8"/>
    </row>
    <row r="107" spans="2:2" x14ac:dyDescent="0.3">
      <c r="B107" s="8"/>
    </row>
    <row r="108" spans="2:2" x14ac:dyDescent="0.3">
      <c r="B108" s="8"/>
    </row>
    <row r="109" spans="2:2" x14ac:dyDescent="0.3">
      <c r="B109" s="8"/>
    </row>
    <row r="110" spans="2:2" x14ac:dyDescent="0.3">
      <c r="B110" s="8"/>
    </row>
    <row r="111" spans="2:2" x14ac:dyDescent="0.3">
      <c r="B111" s="8"/>
    </row>
    <row r="112" spans="2:2" x14ac:dyDescent="0.3">
      <c r="B112" s="8"/>
    </row>
    <row r="113" spans="2:2" x14ac:dyDescent="0.3">
      <c r="B113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B0D7-2172-4B38-8984-390F50C32904}">
  <sheetPr>
    <tabColor theme="9" tint="-0.499984740745262"/>
  </sheetPr>
  <dimension ref="B2:F15"/>
  <sheetViews>
    <sheetView showGridLines="0" zoomScale="85" zoomScaleNormal="85" workbookViewId="0"/>
  </sheetViews>
  <sheetFormatPr defaultRowHeight="14.4" x14ac:dyDescent="0.3"/>
  <cols>
    <col min="2" max="3" width="16.109375" customWidth="1"/>
    <col min="4" max="5" width="19.77734375" customWidth="1"/>
    <col min="6" max="6" width="16.109375" customWidth="1"/>
  </cols>
  <sheetData>
    <row r="2" spans="2:6" x14ac:dyDescent="0.3">
      <c r="B2" s="3" t="s">
        <v>18</v>
      </c>
      <c r="C2" s="3"/>
      <c r="D2" s="3"/>
      <c r="E2" s="3"/>
      <c r="F2" s="3"/>
    </row>
    <row r="3" spans="2:6" x14ac:dyDescent="0.3">
      <c r="B3" s="2" t="s">
        <v>29</v>
      </c>
      <c r="C3" s="2" t="s">
        <v>0</v>
      </c>
      <c r="D3" s="2" t="s">
        <v>30</v>
      </c>
      <c r="E3" s="2" t="s">
        <v>23</v>
      </c>
      <c r="F3" s="2" t="s">
        <v>31</v>
      </c>
    </row>
    <row r="4" spans="2:6" x14ac:dyDescent="0.3">
      <c r="B4" s="6" t="s">
        <v>32</v>
      </c>
      <c r="C4" s="6">
        <v>20000</v>
      </c>
      <c r="D4" s="6">
        <v>1500</v>
      </c>
      <c r="E4" s="6">
        <v>1.1000000000000001</v>
      </c>
      <c r="F4" s="6">
        <v>0.8</v>
      </c>
    </row>
    <row r="5" spans="2:6" x14ac:dyDescent="0.3">
      <c r="B5" s="6" t="s">
        <v>33</v>
      </c>
      <c r="C5" s="6">
        <v>21000</v>
      </c>
      <c r="D5" s="6">
        <v>1600</v>
      </c>
      <c r="E5" s="6">
        <v>1.2</v>
      </c>
      <c r="F5" s="6">
        <v>0.9</v>
      </c>
    </row>
    <row r="6" spans="2:6" x14ac:dyDescent="0.3">
      <c r="B6" s="6" t="s">
        <v>34</v>
      </c>
      <c r="C6" s="6">
        <v>25000</v>
      </c>
      <c r="D6" s="6">
        <v>1700</v>
      </c>
      <c r="E6" s="6">
        <v>1.3</v>
      </c>
      <c r="F6" s="6">
        <v>1</v>
      </c>
    </row>
    <row r="7" spans="2:6" x14ac:dyDescent="0.3">
      <c r="B7" s="6" t="s">
        <v>35</v>
      </c>
      <c r="C7" s="6">
        <v>24000</v>
      </c>
      <c r="D7" s="6">
        <v>1800</v>
      </c>
      <c r="E7" s="6">
        <v>1.4</v>
      </c>
      <c r="F7" s="6">
        <v>1.1000000000000001</v>
      </c>
    </row>
    <row r="8" spans="2:6" x14ac:dyDescent="0.3">
      <c r="B8" s="6" t="s">
        <v>36</v>
      </c>
      <c r="C8" s="6">
        <v>23000</v>
      </c>
      <c r="D8" s="6">
        <v>1500</v>
      </c>
      <c r="E8" s="6">
        <v>1.2</v>
      </c>
      <c r="F8" s="6">
        <v>0.9</v>
      </c>
    </row>
    <row r="9" spans="2:6" x14ac:dyDescent="0.3">
      <c r="B9" s="6" t="s">
        <v>37</v>
      </c>
      <c r="C9" s="6">
        <v>22000</v>
      </c>
      <c r="D9" s="6">
        <v>1600</v>
      </c>
      <c r="E9" s="6">
        <v>1.3</v>
      </c>
      <c r="F9" s="6">
        <v>0.8</v>
      </c>
    </row>
    <row r="10" spans="2:6" x14ac:dyDescent="0.3">
      <c r="B10" s="6" t="s">
        <v>38</v>
      </c>
      <c r="C10" s="6">
        <v>26000</v>
      </c>
      <c r="D10" s="6">
        <v>1800</v>
      </c>
      <c r="E10" s="6">
        <v>1.4</v>
      </c>
      <c r="F10" s="6">
        <v>1</v>
      </c>
    </row>
    <row r="11" spans="2:6" x14ac:dyDescent="0.3">
      <c r="B11" s="6" t="s">
        <v>39</v>
      </c>
      <c r="C11" s="6">
        <v>27000</v>
      </c>
      <c r="D11" s="6">
        <v>2000</v>
      </c>
      <c r="E11" s="6">
        <v>1.5</v>
      </c>
      <c r="F11" s="6">
        <v>1.1000000000000001</v>
      </c>
    </row>
    <row r="12" spans="2:6" x14ac:dyDescent="0.3">
      <c r="B12" s="6" t="s">
        <v>40</v>
      </c>
      <c r="C12" s="6">
        <v>28000</v>
      </c>
      <c r="D12" s="6">
        <v>2100</v>
      </c>
      <c r="E12" s="6">
        <v>1.6</v>
      </c>
      <c r="F12" s="6">
        <v>1.2</v>
      </c>
    </row>
    <row r="13" spans="2:6" x14ac:dyDescent="0.3">
      <c r="B13" s="6" t="s">
        <v>41</v>
      </c>
      <c r="C13" s="6">
        <v>30000</v>
      </c>
      <c r="D13" s="6">
        <v>2200</v>
      </c>
      <c r="E13" s="6">
        <v>1.7</v>
      </c>
      <c r="F13" s="6">
        <v>1.3</v>
      </c>
    </row>
    <row r="14" spans="2:6" x14ac:dyDescent="0.3">
      <c r="B14" s="6" t="s">
        <v>42</v>
      </c>
      <c r="C14" s="6">
        <v>31000</v>
      </c>
      <c r="D14" s="6">
        <v>2300</v>
      </c>
      <c r="E14" s="6">
        <v>1.8</v>
      </c>
      <c r="F14" s="6">
        <v>1.4</v>
      </c>
    </row>
    <row r="15" spans="2:6" x14ac:dyDescent="0.3">
      <c r="B15" s="6" t="s">
        <v>43</v>
      </c>
      <c r="C15" s="6">
        <v>32000</v>
      </c>
      <c r="D15" s="6">
        <v>2400</v>
      </c>
      <c r="E15" s="6">
        <v>1.9</v>
      </c>
      <c r="F15" s="6">
        <v>1.5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824F-23FC-456A-B63D-3FF9AA346C29}">
  <sheetPr>
    <tabColor theme="9" tint="-0.499984740745262"/>
  </sheetPr>
  <dimension ref="B2:C85"/>
  <sheetViews>
    <sheetView showGridLines="0" tabSelected="1" zoomScale="85" zoomScaleNormal="85" workbookViewId="0">
      <selection activeCell="N23" sqref="N23"/>
    </sheetView>
  </sheetViews>
  <sheetFormatPr defaultRowHeight="14.4" x14ac:dyDescent="0.3"/>
  <cols>
    <col min="2" max="3" width="18" customWidth="1"/>
    <col min="4" max="4" width="4.5546875" customWidth="1"/>
  </cols>
  <sheetData>
    <row r="2" spans="2:3" x14ac:dyDescent="0.3">
      <c r="B2" s="3" t="s">
        <v>18</v>
      </c>
      <c r="C2" s="3"/>
    </row>
    <row r="3" spans="2:3" x14ac:dyDescent="0.3">
      <c r="B3" s="2" t="s">
        <v>29</v>
      </c>
      <c r="C3" s="2" t="s">
        <v>44</v>
      </c>
    </row>
    <row r="4" spans="2:3" x14ac:dyDescent="0.3">
      <c r="B4" s="14">
        <v>43466</v>
      </c>
      <c r="C4" s="6">
        <v>1483</v>
      </c>
    </row>
    <row r="5" spans="2:3" x14ac:dyDescent="0.3">
      <c r="B5" s="14">
        <v>43497</v>
      </c>
      <c r="C5" s="6">
        <v>1382</v>
      </c>
    </row>
    <row r="6" spans="2:3" x14ac:dyDescent="0.3">
      <c r="B6" s="14">
        <v>43525</v>
      </c>
      <c r="C6" s="6">
        <v>1367</v>
      </c>
    </row>
    <row r="7" spans="2:3" x14ac:dyDescent="0.3">
      <c r="B7" s="14">
        <v>43556</v>
      </c>
      <c r="C7" s="6">
        <v>1206</v>
      </c>
    </row>
    <row r="8" spans="2:3" x14ac:dyDescent="0.3">
      <c r="B8" s="14">
        <v>43586</v>
      </c>
      <c r="C8" s="6">
        <v>1290</v>
      </c>
    </row>
    <row r="9" spans="2:3" x14ac:dyDescent="0.3">
      <c r="B9" s="14">
        <v>43617</v>
      </c>
      <c r="C9" s="6">
        <v>1323</v>
      </c>
    </row>
    <row r="10" spans="2:3" x14ac:dyDescent="0.3">
      <c r="B10" s="14">
        <v>43647</v>
      </c>
      <c r="C10" s="6">
        <v>1498</v>
      </c>
    </row>
    <row r="11" spans="2:3" x14ac:dyDescent="0.3">
      <c r="B11" s="14">
        <v>43678</v>
      </c>
      <c r="C11" s="6">
        <v>1485</v>
      </c>
    </row>
    <row r="12" spans="2:3" x14ac:dyDescent="0.3">
      <c r="B12" s="14">
        <v>43709</v>
      </c>
      <c r="C12" s="6">
        <v>1212</v>
      </c>
    </row>
    <row r="13" spans="2:3" x14ac:dyDescent="0.3">
      <c r="B13" s="14">
        <v>43739</v>
      </c>
      <c r="C13" s="6">
        <v>1095</v>
      </c>
    </row>
    <row r="14" spans="2:3" x14ac:dyDescent="0.3">
      <c r="B14" s="14">
        <v>43770</v>
      </c>
      <c r="C14" s="6">
        <v>1021</v>
      </c>
    </row>
    <row r="15" spans="2:3" x14ac:dyDescent="0.3">
      <c r="B15" s="14">
        <v>43800</v>
      </c>
      <c r="C15" s="6">
        <v>1117</v>
      </c>
    </row>
    <row r="16" spans="2:3" x14ac:dyDescent="0.3">
      <c r="B16" s="14">
        <v>43831</v>
      </c>
      <c r="C16" s="6">
        <v>1104</v>
      </c>
    </row>
    <row r="17" spans="2:3" x14ac:dyDescent="0.3">
      <c r="B17" s="14">
        <v>43862</v>
      </c>
      <c r="C17" s="6">
        <v>1009</v>
      </c>
    </row>
    <row r="18" spans="2:3" x14ac:dyDescent="0.3">
      <c r="B18" s="14">
        <v>43891</v>
      </c>
      <c r="C18" s="6">
        <v>1383</v>
      </c>
    </row>
    <row r="19" spans="2:3" x14ac:dyDescent="0.3">
      <c r="B19" s="14">
        <v>43922</v>
      </c>
      <c r="C19" s="6">
        <v>1152</v>
      </c>
    </row>
    <row r="20" spans="2:3" x14ac:dyDescent="0.3">
      <c r="B20" s="14">
        <v>43952</v>
      </c>
      <c r="C20" s="6">
        <v>1064</v>
      </c>
    </row>
    <row r="21" spans="2:3" x14ac:dyDescent="0.3">
      <c r="B21" s="14">
        <v>43983</v>
      </c>
      <c r="C21" s="6">
        <v>1277</v>
      </c>
    </row>
    <row r="22" spans="2:3" x14ac:dyDescent="0.3">
      <c r="B22" s="14">
        <v>44013</v>
      </c>
      <c r="C22" s="6">
        <v>1325</v>
      </c>
    </row>
    <row r="23" spans="2:3" x14ac:dyDescent="0.3">
      <c r="B23" s="14">
        <v>44044</v>
      </c>
      <c r="C23" s="6">
        <v>1220</v>
      </c>
    </row>
    <row r="24" spans="2:3" x14ac:dyDescent="0.3">
      <c r="B24" s="14">
        <v>44075</v>
      </c>
      <c r="C24" s="6">
        <v>1168</v>
      </c>
    </row>
    <row r="25" spans="2:3" x14ac:dyDescent="0.3">
      <c r="B25" s="14">
        <v>44105</v>
      </c>
      <c r="C25" s="6">
        <v>1233</v>
      </c>
    </row>
    <row r="26" spans="2:3" x14ac:dyDescent="0.3">
      <c r="B26" s="14">
        <v>44136</v>
      </c>
      <c r="C26" s="6">
        <v>1179</v>
      </c>
    </row>
    <row r="27" spans="2:3" x14ac:dyDescent="0.3">
      <c r="B27" s="14">
        <v>44166</v>
      </c>
      <c r="C27" s="6">
        <v>1067</v>
      </c>
    </row>
    <row r="28" spans="2:3" x14ac:dyDescent="0.3">
      <c r="B28" s="14">
        <v>44197</v>
      </c>
      <c r="C28" s="6">
        <v>1270</v>
      </c>
    </row>
    <row r="29" spans="2:3" x14ac:dyDescent="0.3">
      <c r="B29" s="14">
        <v>44228</v>
      </c>
      <c r="C29" s="6">
        <v>1463</v>
      </c>
    </row>
    <row r="30" spans="2:3" x14ac:dyDescent="0.3">
      <c r="B30" s="14">
        <v>44256</v>
      </c>
      <c r="C30" s="6">
        <v>1425</v>
      </c>
    </row>
    <row r="31" spans="2:3" x14ac:dyDescent="0.3">
      <c r="B31" s="14">
        <v>44287</v>
      </c>
      <c r="C31" s="6">
        <v>1324</v>
      </c>
    </row>
    <row r="32" spans="2:3" x14ac:dyDescent="0.3">
      <c r="B32" s="14">
        <v>44317</v>
      </c>
      <c r="C32" s="6">
        <v>1118</v>
      </c>
    </row>
    <row r="33" spans="2:3" x14ac:dyDescent="0.3">
      <c r="B33" s="14">
        <v>44348</v>
      </c>
      <c r="C33" s="6">
        <v>1136</v>
      </c>
    </row>
    <row r="34" spans="2:3" x14ac:dyDescent="0.3">
      <c r="B34" s="14">
        <v>44378</v>
      </c>
      <c r="C34" s="6">
        <v>1057</v>
      </c>
    </row>
    <row r="35" spans="2:3" x14ac:dyDescent="0.3">
      <c r="B35" s="14">
        <v>44409</v>
      </c>
      <c r="C35" s="6">
        <v>1049</v>
      </c>
    </row>
    <row r="36" spans="2:3" x14ac:dyDescent="0.3">
      <c r="B36" s="14">
        <v>44440</v>
      </c>
      <c r="C36" s="6">
        <v>1025</v>
      </c>
    </row>
    <row r="37" spans="2:3" x14ac:dyDescent="0.3">
      <c r="B37" s="14">
        <v>44470</v>
      </c>
      <c r="C37" s="6">
        <v>1108</v>
      </c>
    </row>
    <row r="38" spans="2:3" x14ac:dyDescent="0.3">
      <c r="B38" s="14">
        <v>44501</v>
      </c>
      <c r="C38" s="6">
        <v>1272</v>
      </c>
    </row>
    <row r="39" spans="2:3" x14ac:dyDescent="0.3">
      <c r="B39" s="14">
        <v>44531</v>
      </c>
      <c r="C39" s="6">
        <v>1430</v>
      </c>
    </row>
    <row r="40" spans="2:3" x14ac:dyDescent="0.3">
      <c r="B40" s="14">
        <v>44562</v>
      </c>
      <c r="C40" s="6">
        <v>1325</v>
      </c>
    </row>
    <row r="41" spans="2:3" x14ac:dyDescent="0.3">
      <c r="B41" s="14">
        <v>44593</v>
      </c>
      <c r="C41" s="6">
        <v>1019</v>
      </c>
    </row>
    <row r="42" spans="2:3" x14ac:dyDescent="0.3">
      <c r="B42" s="14">
        <v>44621</v>
      </c>
      <c r="C42" s="6">
        <v>1041</v>
      </c>
    </row>
    <row r="43" spans="2:3" x14ac:dyDescent="0.3">
      <c r="B43" s="14">
        <v>44652</v>
      </c>
      <c r="C43" s="6">
        <v>1336</v>
      </c>
    </row>
    <row r="44" spans="2:3" x14ac:dyDescent="0.3">
      <c r="B44" s="14">
        <v>44682</v>
      </c>
      <c r="C44" s="6">
        <v>1283</v>
      </c>
    </row>
    <row r="45" spans="2:3" x14ac:dyDescent="0.3">
      <c r="B45" s="14">
        <v>44713</v>
      </c>
      <c r="C45" s="6">
        <v>1462</v>
      </c>
    </row>
    <row r="46" spans="2:3" x14ac:dyDescent="0.3">
      <c r="B46" s="14">
        <v>44743</v>
      </c>
      <c r="C46" s="6">
        <v>1436</v>
      </c>
    </row>
    <row r="47" spans="2:3" x14ac:dyDescent="0.3">
      <c r="B47" s="14">
        <v>44774</v>
      </c>
      <c r="C47" s="6">
        <v>1435</v>
      </c>
    </row>
    <row r="48" spans="2:3" x14ac:dyDescent="0.3">
      <c r="B48" s="14">
        <v>44805</v>
      </c>
      <c r="C48" s="6">
        <v>1051</v>
      </c>
    </row>
    <row r="49" spans="2:3" x14ac:dyDescent="0.3">
      <c r="B49" s="14">
        <v>44835</v>
      </c>
      <c r="C49" s="6">
        <v>1150</v>
      </c>
    </row>
    <row r="50" spans="2:3" x14ac:dyDescent="0.3">
      <c r="B50" s="14">
        <v>44866</v>
      </c>
      <c r="C50" s="6">
        <v>1304</v>
      </c>
    </row>
    <row r="51" spans="2:3" x14ac:dyDescent="0.3">
      <c r="B51" s="14">
        <v>44896</v>
      </c>
      <c r="C51" s="6">
        <v>1307</v>
      </c>
    </row>
    <row r="52" spans="2:3" x14ac:dyDescent="0.3">
      <c r="B52" s="14">
        <v>44927</v>
      </c>
      <c r="C52" s="6">
        <v>1072</v>
      </c>
    </row>
    <row r="53" spans="2:3" x14ac:dyDescent="0.3">
      <c r="B53" s="14">
        <v>44958</v>
      </c>
      <c r="C53" s="6">
        <v>1163</v>
      </c>
    </row>
    <row r="54" spans="2:3" x14ac:dyDescent="0.3">
      <c r="B54" s="14">
        <v>44986</v>
      </c>
      <c r="C54" s="6">
        <v>1269</v>
      </c>
    </row>
    <row r="55" spans="2:3" x14ac:dyDescent="0.3">
      <c r="B55" s="14">
        <v>45017</v>
      </c>
      <c r="C55" s="6">
        <v>1103</v>
      </c>
    </row>
    <row r="56" spans="2:3" x14ac:dyDescent="0.3">
      <c r="B56" s="14">
        <v>45047</v>
      </c>
      <c r="C56" s="6">
        <v>1154</v>
      </c>
    </row>
    <row r="57" spans="2:3" x14ac:dyDescent="0.3">
      <c r="B57" s="14">
        <v>45078</v>
      </c>
      <c r="C57" s="6">
        <v>1421</v>
      </c>
    </row>
    <row r="58" spans="2:3" x14ac:dyDescent="0.3">
      <c r="B58" s="14">
        <v>45108</v>
      </c>
      <c r="C58" s="6">
        <v>1008</v>
      </c>
    </row>
    <row r="59" spans="2:3" x14ac:dyDescent="0.3">
      <c r="B59" s="14">
        <v>45139</v>
      </c>
      <c r="C59" s="6">
        <v>1176</v>
      </c>
    </row>
    <row r="60" spans="2:3" x14ac:dyDescent="0.3">
      <c r="B60" s="14">
        <v>45170</v>
      </c>
      <c r="C60" s="6">
        <v>1456</v>
      </c>
    </row>
    <row r="61" spans="2:3" x14ac:dyDescent="0.3">
      <c r="B61" s="14">
        <v>45200</v>
      </c>
      <c r="C61" s="6">
        <v>1171</v>
      </c>
    </row>
    <row r="62" spans="2:3" x14ac:dyDescent="0.3">
      <c r="B62" s="14">
        <v>45231</v>
      </c>
      <c r="C62" s="6">
        <v>1311</v>
      </c>
    </row>
    <row r="63" spans="2:3" x14ac:dyDescent="0.3">
      <c r="B63" s="14">
        <v>45261</v>
      </c>
      <c r="C63" s="6">
        <v>1242</v>
      </c>
    </row>
    <row r="64" spans="2:3" x14ac:dyDescent="0.3">
      <c r="B64" s="14"/>
      <c r="C64" s="6"/>
    </row>
    <row r="65" spans="2:3" x14ac:dyDescent="0.3">
      <c r="B65" s="14"/>
      <c r="C65" s="6"/>
    </row>
    <row r="66" spans="2:3" x14ac:dyDescent="0.3">
      <c r="B66" s="14"/>
      <c r="C66" s="6"/>
    </row>
    <row r="67" spans="2:3" x14ac:dyDescent="0.3">
      <c r="B67" s="14"/>
      <c r="C67" s="6"/>
    </row>
    <row r="68" spans="2:3" x14ac:dyDescent="0.3">
      <c r="B68" s="14"/>
      <c r="C68" s="6"/>
    </row>
    <row r="69" spans="2:3" x14ac:dyDescent="0.3">
      <c r="B69" s="14"/>
      <c r="C69" s="6"/>
    </row>
    <row r="70" spans="2:3" x14ac:dyDescent="0.3">
      <c r="B70" s="14"/>
      <c r="C70" s="6"/>
    </row>
    <row r="71" spans="2:3" x14ac:dyDescent="0.3">
      <c r="B71" s="14"/>
      <c r="C71" s="6"/>
    </row>
    <row r="72" spans="2:3" x14ac:dyDescent="0.3">
      <c r="B72" s="14"/>
      <c r="C72" s="6"/>
    </row>
    <row r="73" spans="2:3" x14ac:dyDescent="0.3">
      <c r="B73" s="14"/>
      <c r="C73" s="6"/>
    </row>
    <row r="74" spans="2:3" x14ac:dyDescent="0.3">
      <c r="B74" s="14"/>
      <c r="C74" s="6"/>
    </row>
    <row r="75" spans="2:3" x14ac:dyDescent="0.3">
      <c r="B75" s="14"/>
      <c r="C75" s="6"/>
    </row>
    <row r="76" spans="2:3" x14ac:dyDescent="0.3">
      <c r="B76" s="14"/>
      <c r="C76" s="6"/>
    </row>
    <row r="77" spans="2:3" x14ac:dyDescent="0.3">
      <c r="B77" s="14"/>
      <c r="C77" s="6"/>
    </row>
    <row r="78" spans="2:3" x14ac:dyDescent="0.3">
      <c r="B78" s="14"/>
      <c r="C78" s="6"/>
    </row>
    <row r="79" spans="2:3" x14ac:dyDescent="0.3">
      <c r="B79" s="14"/>
      <c r="C79" s="6"/>
    </row>
    <row r="80" spans="2:3" x14ac:dyDescent="0.3">
      <c r="B80" s="14"/>
      <c r="C80" s="6"/>
    </row>
    <row r="81" spans="2:3" x14ac:dyDescent="0.3">
      <c r="B81" s="14"/>
      <c r="C81" s="6"/>
    </row>
    <row r="82" spans="2:3" x14ac:dyDescent="0.3">
      <c r="B82" s="14"/>
      <c r="C82" s="6"/>
    </row>
    <row r="83" spans="2:3" x14ac:dyDescent="0.3">
      <c r="B83" s="14"/>
      <c r="C83" s="6"/>
    </row>
    <row r="84" spans="2:3" x14ac:dyDescent="0.3">
      <c r="B84" s="14"/>
      <c r="C84" s="6"/>
    </row>
    <row r="85" spans="2:3" x14ac:dyDescent="0.3">
      <c r="B85" s="14"/>
      <c r="C8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02_02</vt:lpstr>
      <vt:lpstr>02_03</vt:lpstr>
      <vt:lpstr>02_03 (2)</vt:lpstr>
      <vt:lpstr>04_01</vt:lpstr>
      <vt:lpstr>04_02</vt:lpstr>
      <vt:lpstr>04_03</vt:lpstr>
      <vt:lpstr>Ch1</vt:lpstr>
      <vt:lpstr>Ch1 (2)</vt:lpstr>
      <vt:lpstr>Ch2</vt:lpstr>
      <vt:lpstr>Ch2 (2)</vt:lpstr>
      <vt:lpstr>Ch3</vt:lpstr>
      <vt:lpstr>Ch3 (2)</vt:lpstr>
      <vt:lpstr>Ch1 (Data)</vt:lpstr>
      <vt:lpstr>Ch2 (Data)</vt:lpstr>
      <vt:lpstr>Ch3 (Data)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Ciprian Hancu (Nokia)</cp:lastModifiedBy>
  <dcterms:created xsi:type="dcterms:W3CDTF">2024-07-12T15:03:16Z</dcterms:created>
  <dcterms:modified xsi:type="dcterms:W3CDTF">2025-11-13T16:13:16Z</dcterms:modified>
</cp:coreProperties>
</file>